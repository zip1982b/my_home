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расчёт площади утепления дома" sheetId="16" r:id="rId4"/>
    <sheet name="расчёт объёма бетона для мп1" sheetId="10" r:id="rId5"/>
    <sheet name="Расчёт балок перекрытия" sheetId="11" r:id="rId6"/>
    <sheet name="Материалы" sheetId="3" r:id="rId7"/>
    <sheet name="Расчёт арматуры" sheetId="9" r:id="rId8"/>
    <sheet name="Оси" sheetId="8" r:id="rId9"/>
    <sheet name="Высоты" sheetId="7" r:id="rId10"/>
    <sheet name="Розетки и освещение" sheetId="12" r:id="rId11"/>
    <sheet name="сравнение цен на 13_02_26" sheetId="13" r:id="rId12"/>
    <sheet name="котельная и вентиляция" sheetId="14" r:id="rId13"/>
    <sheet name="дерево заказ на 18 апр 2026" sheetId="15" r:id="rId14"/>
    <sheet name="расчёт кол-ва профилей оконных" sheetId="17" r:id="rId15"/>
  </sheets>
  <calcPr calcId="152511"/>
</workbook>
</file>

<file path=xl/calcChain.xml><?xml version="1.0" encoding="utf-8"?>
<calcChain xmlns="http://schemas.openxmlformats.org/spreadsheetml/2006/main">
  <c r="D548" i="6" l="1"/>
  <c r="D547" i="6"/>
  <c r="D545" i="6" l="1"/>
  <c r="D540" i="6" l="1"/>
  <c r="D537" i="6"/>
  <c r="D536" i="6"/>
  <c r="D535" i="6"/>
  <c r="F13" i="18" l="1"/>
  <c r="D13" i="18"/>
  <c r="D12" i="18"/>
  <c r="D11" i="18"/>
  <c r="D10" i="18"/>
  <c r="D9" i="18"/>
  <c r="D8" i="18"/>
  <c r="D7" i="18"/>
  <c r="D6" i="18"/>
  <c r="D5" i="18"/>
  <c r="D4" i="18"/>
  <c r="R5" i="17" l="1"/>
  <c r="Q5" i="17"/>
  <c r="P5" i="17"/>
  <c r="P3" i="17"/>
  <c r="P4" i="17"/>
  <c r="C18" i="17"/>
  <c r="J12" i="17"/>
  <c r="I12" i="17"/>
  <c r="H12" i="17"/>
  <c r="H11" i="17"/>
  <c r="H8" i="17"/>
  <c r="H4" i="17"/>
  <c r="F11" i="17"/>
  <c r="F8" i="17"/>
  <c r="F4" i="17"/>
  <c r="D531" i="6" l="1"/>
  <c r="D530" i="6"/>
  <c r="D528" i="6" l="1"/>
  <c r="D527" i="6"/>
  <c r="D526" i="6"/>
  <c r="D523" i="6"/>
  <c r="D522" i="6"/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58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<sst xmlns="http://schemas.openxmlformats.org/spreadsheetml/2006/main" count="1508" uniqueCount="933">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</sst>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58" totalsRowCount="1">
  <autoFilter ref="B5:F557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58"/>
  <sheetViews>
    <sheetView tabSelected="1" topLeftCell="A528" workbookViewId="0">
      <selection activeCell="C551" sqref="C551"/>
    </sheetView>
  </sheetViews>
  <sheetFormatPr defaultRowHeight="15" x14ac:dyDescent="0.25"/>
  <cols>
    <col min="3" max="3" width="94.710937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 x14ac:dyDescent="0.25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 x14ac:dyDescent="0.25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 x14ac:dyDescent="0.25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 x14ac:dyDescent="0.25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 x14ac:dyDescent="0.25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 x14ac:dyDescent="0.25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 x14ac:dyDescent="0.25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 x14ac:dyDescent="0.25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 x14ac:dyDescent="0.25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 x14ac:dyDescent="0.25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 x14ac:dyDescent="0.25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 x14ac:dyDescent="0.25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 x14ac:dyDescent="0.25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 x14ac:dyDescent="0.25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 x14ac:dyDescent="0.25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 x14ac:dyDescent="0.25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 x14ac:dyDescent="0.25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 x14ac:dyDescent="0.25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 x14ac:dyDescent="0.25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 x14ac:dyDescent="0.25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 x14ac:dyDescent="0.25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 x14ac:dyDescent="0.25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 x14ac:dyDescent="0.25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 x14ac:dyDescent="0.25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 x14ac:dyDescent="0.25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 x14ac:dyDescent="0.25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 x14ac:dyDescent="0.25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 x14ac:dyDescent="0.25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 x14ac:dyDescent="0.25">
      <c r="B264">
        <v>260</v>
      </c>
      <c r="C264" s="18" t="s">
        <v>476</v>
      </c>
      <c r="D264" s="7">
        <v>56.15</v>
      </c>
      <c r="F264" s="9">
        <v>45917</v>
      </c>
    </row>
    <row r="265" spans="2:6" x14ac:dyDescent="0.25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 x14ac:dyDescent="0.25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 x14ac:dyDescent="0.25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 x14ac:dyDescent="0.25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 x14ac:dyDescent="0.25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 x14ac:dyDescent="0.25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 x14ac:dyDescent="0.25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 x14ac:dyDescent="0.25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 x14ac:dyDescent="0.25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 x14ac:dyDescent="0.25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 x14ac:dyDescent="0.25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 x14ac:dyDescent="0.25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 x14ac:dyDescent="0.25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 x14ac:dyDescent="0.25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 x14ac:dyDescent="0.25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 x14ac:dyDescent="0.25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 x14ac:dyDescent="0.25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 x14ac:dyDescent="0.25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 x14ac:dyDescent="0.25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 x14ac:dyDescent="0.25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 x14ac:dyDescent="0.25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 x14ac:dyDescent="0.25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 x14ac:dyDescent="0.25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 x14ac:dyDescent="0.25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 x14ac:dyDescent="0.25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 x14ac:dyDescent="0.25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 x14ac:dyDescent="0.25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 x14ac:dyDescent="0.25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 x14ac:dyDescent="0.25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 x14ac:dyDescent="0.25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 x14ac:dyDescent="0.25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 x14ac:dyDescent="0.25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 x14ac:dyDescent="0.25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 x14ac:dyDescent="0.25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 x14ac:dyDescent="0.25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 x14ac:dyDescent="0.25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 x14ac:dyDescent="0.25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 x14ac:dyDescent="0.25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 x14ac:dyDescent="0.25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 x14ac:dyDescent="0.25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 x14ac:dyDescent="0.25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 x14ac:dyDescent="0.25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 x14ac:dyDescent="0.25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 x14ac:dyDescent="0.25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 x14ac:dyDescent="0.25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 x14ac:dyDescent="0.25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 x14ac:dyDescent="0.25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 x14ac:dyDescent="0.25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 x14ac:dyDescent="0.25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 x14ac:dyDescent="0.25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 x14ac:dyDescent="0.25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 x14ac:dyDescent="0.25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 x14ac:dyDescent="0.25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 x14ac:dyDescent="0.25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 x14ac:dyDescent="0.25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 x14ac:dyDescent="0.25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 x14ac:dyDescent="0.25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 x14ac:dyDescent="0.25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 x14ac:dyDescent="0.25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 x14ac:dyDescent="0.25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 x14ac:dyDescent="0.25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 x14ac:dyDescent="0.25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 x14ac:dyDescent="0.25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 x14ac:dyDescent="0.25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 x14ac:dyDescent="0.25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 x14ac:dyDescent="0.25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 x14ac:dyDescent="0.25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 x14ac:dyDescent="0.25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 x14ac:dyDescent="0.25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 x14ac:dyDescent="0.25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 x14ac:dyDescent="0.25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 x14ac:dyDescent="0.25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 x14ac:dyDescent="0.25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 x14ac:dyDescent="0.25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 x14ac:dyDescent="0.25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 x14ac:dyDescent="0.25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 x14ac:dyDescent="0.25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 x14ac:dyDescent="0.25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 x14ac:dyDescent="0.25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 x14ac:dyDescent="0.25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 x14ac:dyDescent="0.25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 x14ac:dyDescent="0.25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 x14ac:dyDescent="0.25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 x14ac:dyDescent="0.25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 x14ac:dyDescent="0.25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 x14ac:dyDescent="0.25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 x14ac:dyDescent="0.25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 x14ac:dyDescent="0.25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 x14ac:dyDescent="0.25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 x14ac:dyDescent="0.25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 x14ac:dyDescent="0.25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 x14ac:dyDescent="0.25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 x14ac:dyDescent="0.25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 x14ac:dyDescent="0.25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 x14ac:dyDescent="0.25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 x14ac:dyDescent="0.25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 x14ac:dyDescent="0.25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 x14ac:dyDescent="0.25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 x14ac:dyDescent="0.25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 x14ac:dyDescent="0.25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 x14ac:dyDescent="0.25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 x14ac:dyDescent="0.25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 x14ac:dyDescent="0.25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 x14ac:dyDescent="0.25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 x14ac:dyDescent="0.25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 x14ac:dyDescent="0.25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 x14ac:dyDescent="0.25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 x14ac:dyDescent="0.25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 x14ac:dyDescent="0.25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 x14ac:dyDescent="0.25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 x14ac:dyDescent="0.25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 x14ac:dyDescent="0.25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 x14ac:dyDescent="0.25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 x14ac:dyDescent="0.25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 x14ac:dyDescent="0.25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 x14ac:dyDescent="0.25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 x14ac:dyDescent="0.25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 x14ac:dyDescent="0.25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 x14ac:dyDescent="0.25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 x14ac:dyDescent="0.25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 x14ac:dyDescent="0.25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 x14ac:dyDescent="0.25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 x14ac:dyDescent="0.25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 x14ac:dyDescent="0.25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 x14ac:dyDescent="0.25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 x14ac:dyDescent="0.25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 x14ac:dyDescent="0.25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 x14ac:dyDescent="0.25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 x14ac:dyDescent="0.25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 x14ac:dyDescent="0.25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 x14ac:dyDescent="0.25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 x14ac:dyDescent="0.25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 x14ac:dyDescent="0.25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 x14ac:dyDescent="0.25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 x14ac:dyDescent="0.25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 x14ac:dyDescent="0.25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 x14ac:dyDescent="0.25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 x14ac:dyDescent="0.25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 x14ac:dyDescent="0.25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 x14ac:dyDescent="0.25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 x14ac:dyDescent="0.25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 x14ac:dyDescent="0.25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 x14ac:dyDescent="0.25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 x14ac:dyDescent="0.25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 x14ac:dyDescent="0.25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 x14ac:dyDescent="0.25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 x14ac:dyDescent="0.25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 x14ac:dyDescent="0.25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 x14ac:dyDescent="0.25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 x14ac:dyDescent="0.25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 x14ac:dyDescent="0.25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 x14ac:dyDescent="0.25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 x14ac:dyDescent="0.25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 x14ac:dyDescent="0.25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 x14ac:dyDescent="0.25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 x14ac:dyDescent="0.25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 x14ac:dyDescent="0.25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 x14ac:dyDescent="0.25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 x14ac:dyDescent="0.25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 x14ac:dyDescent="0.25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 x14ac:dyDescent="0.25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 x14ac:dyDescent="0.25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 x14ac:dyDescent="0.25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 x14ac:dyDescent="0.25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 x14ac:dyDescent="0.25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 x14ac:dyDescent="0.25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 x14ac:dyDescent="0.25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 x14ac:dyDescent="0.25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 x14ac:dyDescent="0.25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 x14ac:dyDescent="0.25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 x14ac:dyDescent="0.25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 x14ac:dyDescent="0.25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 x14ac:dyDescent="0.25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 x14ac:dyDescent="0.25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 x14ac:dyDescent="0.25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 x14ac:dyDescent="0.25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 x14ac:dyDescent="0.25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 x14ac:dyDescent="0.25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 x14ac:dyDescent="0.25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 x14ac:dyDescent="0.25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 x14ac:dyDescent="0.25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 x14ac:dyDescent="0.25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 x14ac:dyDescent="0.25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 x14ac:dyDescent="0.25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 x14ac:dyDescent="0.25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 x14ac:dyDescent="0.25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 x14ac:dyDescent="0.25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 x14ac:dyDescent="0.25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 x14ac:dyDescent="0.25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 x14ac:dyDescent="0.25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 x14ac:dyDescent="0.25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 x14ac:dyDescent="0.25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 x14ac:dyDescent="0.25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 x14ac:dyDescent="0.25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 x14ac:dyDescent="0.25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 x14ac:dyDescent="0.25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 x14ac:dyDescent="0.25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 x14ac:dyDescent="0.25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 x14ac:dyDescent="0.25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 x14ac:dyDescent="0.25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 x14ac:dyDescent="0.25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 x14ac:dyDescent="0.25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 x14ac:dyDescent="0.25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 x14ac:dyDescent="0.25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 x14ac:dyDescent="0.25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 x14ac:dyDescent="0.25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 x14ac:dyDescent="0.25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 x14ac:dyDescent="0.25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 x14ac:dyDescent="0.25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 x14ac:dyDescent="0.25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 x14ac:dyDescent="0.25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6" x14ac:dyDescent="0.25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6" x14ac:dyDescent="0.25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6" x14ac:dyDescent="0.25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6" x14ac:dyDescent="0.25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6" x14ac:dyDescent="0.25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6" x14ac:dyDescent="0.25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6" x14ac:dyDescent="0.25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6" x14ac:dyDescent="0.25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6" x14ac:dyDescent="0.25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6" x14ac:dyDescent="0.25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6" x14ac:dyDescent="0.25">
      <c r="B491">
        <v>487</v>
      </c>
      <c r="C491" t="s">
        <v>834</v>
      </c>
      <c r="D491" s="7">
        <v>39.6</v>
      </c>
      <c r="E491" t="s">
        <v>173</v>
      </c>
      <c r="F491" s="9">
        <v>46214</v>
      </c>
    </row>
    <row r="492" spans="2:6" x14ac:dyDescent="0.25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</row>
    <row r="493" spans="2:6" x14ac:dyDescent="0.25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</row>
    <row r="494" spans="2:6" x14ac:dyDescent="0.25">
      <c r="B494">
        <v>490</v>
      </c>
      <c r="C494" t="s">
        <v>837</v>
      </c>
      <c r="D494" s="7">
        <v>3050</v>
      </c>
      <c r="E494" t="s">
        <v>173</v>
      </c>
      <c r="F494" s="9">
        <v>46217</v>
      </c>
    </row>
    <row r="495" spans="2:6" x14ac:dyDescent="0.25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6" x14ac:dyDescent="0.25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 x14ac:dyDescent="0.25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 x14ac:dyDescent="0.25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 x14ac:dyDescent="0.25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 x14ac:dyDescent="0.25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 x14ac:dyDescent="0.25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 x14ac:dyDescent="0.25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 x14ac:dyDescent="0.25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 x14ac:dyDescent="0.25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 x14ac:dyDescent="0.25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 x14ac:dyDescent="0.25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 x14ac:dyDescent="0.25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 x14ac:dyDescent="0.25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 x14ac:dyDescent="0.25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 x14ac:dyDescent="0.25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 x14ac:dyDescent="0.25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 x14ac:dyDescent="0.25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 x14ac:dyDescent="0.25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 x14ac:dyDescent="0.25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 x14ac:dyDescent="0.25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 x14ac:dyDescent="0.25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 x14ac:dyDescent="0.25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 x14ac:dyDescent="0.25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 x14ac:dyDescent="0.25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 x14ac:dyDescent="0.25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 x14ac:dyDescent="0.25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 x14ac:dyDescent="0.25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 x14ac:dyDescent="0.25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 x14ac:dyDescent="0.25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 x14ac:dyDescent="0.25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 x14ac:dyDescent="0.25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 x14ac:dyDescent="0.25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 x14ac:dyDescent="0.25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 x14ac:dyDescent="0.25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 x14ac:dyDescent="0.25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 x14ac:dyDescent="0.25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 x14ac:dyDescent="0.25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 x14ac:dyDescent="0.25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 x14ac:dyDescent="0.25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 x14ac:dyDescent="0.25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 x14ac:dyDescent="0.25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 x14ac:dyDescent="0.25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 x14ac:dyDescent="0.25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 x14ac:dyDescent="0.25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 x14ac:dyDescent="0.25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 x14ac:dyDescent="0.25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 x14ac:dyDescent="0.25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 x14ac:dyDescent="0.25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 x14ac:dyDescent="0.25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 x14ac:dyDescent="0.25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 x14ac:dyDescent="0.25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 x14ac:dyDescent="0.25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 x14ac:dyDescent="0.25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 x14ac:dyDescent="0.25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 x14ac:dyDescent="0.25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 x14ac:dyDescent="0.25">
      <c r="B551">
        <v>547</v>
      </c>
      <c r="D551" s="7"/>
      <c r="F551" s="9"/>
    </row>
    <row r="552" spans="2:6" x14ac:dyDescent="0.25">
      <c r="B552">
        <v>548</v>
      </c>
      <c r="D552" s="7"/>
      <c r="F552" s="9"/>
    </row>
    <row r="553" spans="2:6" x14ac:dyDescent="0.25">
      <c r="B553">
        <v>549</v>
      </c>
      <c r="D553" s="7"/>
      <c r="F553" s="9"/>
    </row>
    <row r="554" spans="2:6" x14ac:dyDescent="0.25">
      <c r="B554">
        <v>550</v>
      </c>
      <c r="D554" s="7"/>
      <c r="F554" s="9"/>
    </row>
    <row r="555" spans="2:6" x14ac:dyDescent="0.25">
      <c r="B555">
        <v>551</v>
      </c>
      <c r="D555" s="7"/>
      <c r="F555" s="9"/>
    </row>
    <row r="556" spans="2:6" x14ac:dyDescent="0.25">
      <c r="B556">
        <v>552</v>
      </c>
      <c r="D556" s="7"/>
      <c r="F556" s="9"/>
    </row>
    <row r="557" spans="2:6" x14ac:dyDescent="0.25">
      <c r="B557">
        <v>553</v>
      </c>
      <c r="D557" s="7"/>
      <c r="F557" s="9"/>
    </row>
    <row r="558" spans="2:6" x14ac:dyDescent="0.25">
      <c r="D558" s="7">
        <f>SUBTOTAL(109,Таблица4[Цена (руб)])</f>
        <v>6207813.5200000014</v>
      </c>
      <c r="F558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workbookViewId="0">
      <selection activeCell="F15" sqref="F15"/>
    </sheetView>
  </sheetViews>
  <sheetFormatPr defaultRowHeight="15" x14ac:dyDescent="0.2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</cols>
  <sheetData>
    <row r="3" spans="2:6" x14ac:dyDescent="0.25">
      <c r="B3" t="s">
        <v>343</v>
      </c>
      <c r="C3" t="s">
        <v>899</v>
      </c>
      <c r="D3" t="s">
        <v>903</v>
      </c>
      <c r="E3" t="s">
        <v>1</v>
      </c>
    </row>
    <row r="4" spans="2:6" x14ac:dyDescent="0.25">
      <c r="B4" t="s">
        <v>902</v>
      </c>
      <c r="C4">
        <v>1160.52</v>
      </c>
      <c r="D4">
        <f t="shared" ref="D4:D12" si="0">C4*2</f>
        <v>2321.04</v>
      </c>
    </row>
    <row r="5" spans="2:6" x14ac:dyDescent="0.25">
      <c r="B5" t="s">
        <v>904</v>
      </c>
      <c r="C5">
        <v>680</v>
      </c>
      <c r="D5">
        <f t="shared" si="0"/>
        <v>1360</v>
      </c>
    </row>
    <row r="6" spans="2:6" x14ac:dyDescent="0.25">
      <c r="B6" t="s">
        <v>905</v>
      </c>
      <c r="C6">
        <v>1187.5</v>
      </c>
      <c r="D6">
        <f t="shared" si="0"/>
        <v>2375</v>
      </c>
    </row>
    <row r="7" spans="2:6" x14ac:dyDescent="0.25">
      <c r="B7" t="s">
        <v>906</v>
      </c>
      <c r="C7">
        <v>721.65</v>
      </c>
      <c r="D7">
        <f t="shared" si="0"/>
        <v>1443.3</v>
      </c>
    </row>
    <row r="8" spans="2:6" x14ac:dyDescent="0.25">
      <c r="B8" t="s">
        <v>907</v>
      </c>
      <c r="C8">
        <v>383.66</v>
      </c>
      <c r="D8">
        <f t="shared" si="0"/>
        <v>767.32</v>
      </c>
    </row>
    <row r="9" spans="2:6" x14ac:dyDescent="0.25">
      <c r="B9" t="s">
        <v>908</v>
      </c>
      <c r="C9">
        <v>1368.97</v>
      </c>
      <c r="D9">
        <f t="shared" si="0"/>
        <v>2737.94</v>
      </c>
    </row>
    <row r="10" spans="2:6" x14ac:dyDescent="0.25">
      <c r="B10" t="s">
        <v>909</v>
      </c>
      <c r="C10">
        <v>1311.86</v>
      </c>
      <c r="D10">
        <f t="shared" si="0"/>
        <v>2623.72</v>
      </c>
    </row>
    <row r="11" spans="2:6" x14ac:dyDescent="0.25">
      <c r="B11" t="s">
        <v>910</v>
      </c>
      <c r="C11">
        <v>1116.8699999999999</v>
      </c>
      <c r="D11">
        <f t="shared" si="0"/>
        <v>2233.7399999999998</v>
      </c>
    </row>
    <row r="12" spans="2:6" x14ac:dyDescent="0.25">
      <c r="B12" t="s">
        <v>911</v>
      </c>
      <c r="C12">
        <v>1477.63</v>
      </c>
      <c r="D12">
        <f t="shared" si="0"/>
        <v>2955.26</v>
      </c>
    </row>
    <row r="13" spans="2:6" x14ac:dyDescent="0.25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 x14ac:dyDescent="0.25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 x14ac:dyDescent="0.25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 x14ac:dyDescent="0.25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872</v>
      </c>
      <c r="L9" t="s">
        <v>868</v>
      </c>
      <c r="M9" t="s">
        <v>863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873</v>
      </c>
      <c r="L12" t="s">
        <v>864</v>
      </c>
      <c r="M12" t="s">
        <v>863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797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623</v>
      </c>
      <c r="F3" s="43" t="s">
        <v>639</v>
      </c>
    </row>
    <row r="4" spans="2:6" x14ac:dyDescent="0.25">
      <c r="B4" s="44"/>
      <c r="F4" s="49" t="s">
        <v>640</v>
      </c>
    </row>
    <row r="5" spans="2:6" ht="129.75" customHeight="1" x14ac:dyDescent="0.25">
      <c r="B5" s="43" t="s">
        <v>624</v>
      </c>
      <c r="F5" s="50" t="s">
        <v>641</v>
      </c>
    </row>
    <row r="6" spans="2:6" ht="15.75" x14ac:dyDescent="0.25">
      <c r="B6" s="44"/>
      <c r="F6" s="46" t="s">
        <v>642</v>
      </c>
    </row>
    <row r="7" spans="2:6" ht="44.25" customHeight="1" x14ac:dyDescent="0.25">
      <c r="B7" s="45" t="s">
        <v>625</v>
      </c>
      <c r="F7" s="46" t="s">
        <v>643</v>
      </c>
    </row>
    <row r="8" spans="2:6" ht="122.25" customHeight="1" x14ac:dyDescent="0.25">
      <c r="B8" s="43" t="s">
        <v>626</v>
      </c>
      <c r="F8" s="46" t="s">
        <v>644</v>
      </c>
    </row>
    <row r="9" spans="2:6" x14ac:dyDescent="0.25">
      <c r="B9" s="44" t="s">
        <v>627</v>
      </c>
      <c r="F9" s="51" t="s">
        <v>645</v>
      </c>
    </row>
    <row r="10" spans="2:6" ht="41.25" customHeight="1" x14ac:dyDescent="0.25">
      <c r="B10" s="46" t="s">
        <v>628</v>
      </c>
      <c r="F10" s="43" t="s">
        <v>646</v>
      </c>
    </row>
    <row r="11" spans="2:6" ht="50.25" customHeight="1" x14ac:dyDescent="0.25">
      <c r="B11" s="46" t="s">
        <v>629</v>
      </c>
    </row>
    <row r="12" spans="2:6" ht="31.5" x14ac:dyDescent="0.25">
      <c r="B12" s="46" t="s">
        <v>630</v>
      </c>
    </row>
    <row r="13" spans="2:6" ht="15.75" x14ac:dyDescent="0.25">
      <c r="B13" s="46" t="s">
        <v>631</v>
      </c>
    </row>
    <row r="14" spans="2:6" ht="72" customHeight="1" x14ac:dyDescent="0.25">
      <c r="B14" s="47" t="s">
        <v>632</v>
      </c>
    </row>
    <row r="15" spans="2:6" ht="133.5" customHeight="1" x14ac:dyDescent="0.25">
      <c r="B15" s="47" t="s">
        <v>633</v>
      </c>
    </row>
    <row r="16" spans="2:6" x14ac:dyDescent="0.25">
      <c r="B16" s="48" t="s">
        <v>634</v>
      </c>
    </row>
    <row r="17" spans="2:2" ht="44.25" customHeight="1" x14ac:dyDescent="0.25">
      <c r="B17" s="45" t="s">
        <v>635</v>
      </c>
    </row>
    <row r="18" spans="2:2" ht="161.25" customHeight="1" x14ac:dyDescent="0.25">
      <c r="B18" s="46" t="s">
        <v>636</v>
      </c>
    </row>
    <row r="19" spans="2:2" ht="105.75" customHeight="1" x14ac:dyDescent="0.25">
      <c r="B19" s="46" t="s">
        <v>637</v>
      </c>
    </row>
    <row r="20" spans="2:2" ht="144" customHeight="1" x14ac:dyDescent="0.25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688</v>
      </c>
      <c r="C3" t="s">
        <v>696</v>
      </c>
      <c r="D3" t="s">
        <v>1</v>
      </c>
    </row>
    <row r="4" spans="2:6" x14ac:dyDescent="0.25">
      <c r="B4" t="s">
        <v>689</v>
      </c>
      <c r="C4">
        <v>25</v>
      </c>
      <c r="D4" t="s">
        <v>700</v>
      </c>
    </row>
    <row r="5" spans="2:6" x14ac:dyDescent="0.25">
      <c r="B5" t="s">
        <v>690</v>
      </c>
      <c r="C5">
        <v>3</v>
      </c>
      <c r="D5" t="s">
        <v>691</v>
      </c>
    </row>
    <row r="6" spans="2:6" x14ac:dyDescent="0.25">
      <c r="B6" t="s">
        <v>692</v>
      </c>
      <c r="C6" t="s">
        <v>693</v>
      </c>
      <c r="D6" t="s">
        <v>708</v>
      </c>
    </row>
    <row r="7" spans="2:6" x14ac:dyDescent="0.25">
      <c r="B7" t="s">
        <v>694</v>
      </c>
      <c r="C7" t="s">
        <v>695</v>
      </c>
      <c r="D7" t="s">
        <v>699</v>
      </c>
    </row>
    <row r="8" spans="2:6" x14ac:dyDescent="0.25">
      <c r="B8" t="s">
        <v>694</v>
      </c>
      <c r="C8" t="s">
        <v>697</v>
      </c>
      <c r="D8" t="s">
        <v>698</v>
      </c>
    </row>
    <row r="14" spans="2:6" x14ac:dyDescent="0.25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 x14ac:dyDescent="0.25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R5" sqref="R5"/>
    </sheetView>
  </sheetViews>
  <sheetFormatPr defaultRowHeight="15" x14ac:dyDescent="0.25"/>
  <cols>
    <col min="4" max="4" width="13.7109375" customWidth="1"/>
    <col min="6" max="6" width="13" customWidth="1"/>
    <col min="7" max="7" width="14.7109375" customWidth="1"/>
  </cols>
  <sheetData>
    <row r="2" spans="3:18" x14ac:dyDescent="0.25">
      <c r="D2" t="s">
        <v>896</v>
      </c>
      <c r="N2" t="s">
        <v>900</v>
      </c>
      <c r="Q2" t="s">
        <v>901</v>
      </c>
    </row>
    <row r="3" spans="3:18" x14ac:dyDescent="0.25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 x14ac:dyDescent="0.25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 x14ac:dyDescent="0.25">
      <c r="P5">
        <f>P3+P4</f>
        <v>2525</v>
      </c>
      <c r="Q5">
        <f>P5/100</f>
        <v>25.25</v>
      </c>
      <c r="R5">
        <f>Q5/2.5</f>
        <v>10.1</v>
      </c>
    </row>
    <row r="7" spans="3:18" x14ac:dyDescent="0.25">
      <c r="D7" t="s">
        <v>897</v>
      </c>
    </row>
    <row r="8" spans="3:18" x14ac:dyDescent="0.25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 x14ac:dyDescent="0.25">
      <c r="D10" t="s">
        <v>898</v>
      </c>
    </row>
    <row r="11" spans="3:18" x14ac:dyDescent="0.25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 x14ac:dyDescent="0.25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 x14ac:dyDescent="0.25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Расчёт колличества бетона </vt:lpstr>
      <vt:lpstr>Покупки для дома</vt:lpstr>
      <vt:lpstr>расчёт труб отопления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2026-08-10T18:09:56Z</dcterms:modified>
</cp:coreProperties>
</file>