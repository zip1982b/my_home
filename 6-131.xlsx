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2" activeTab="2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5" i="17" s="1"/>
  <c r="Q5" i="17" s="1"/>
  <c r="R5" i="17" s="1"/>
  <c r="P4" i="17"/>
  <c r="C18" i="17"/>
  <c r="H8" i="17"/>
  <c r="F11" i="17"/>
  <c r="H11" i="17" s="1"/>
  <c r="F8" i="17"/>
  <c r="F4" i="17"/>
  <c r="H4" i="17" s="1"/>
  <c r="H12" i="17" l="1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7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<sst xmlns="http://schemas.openxmlformats.org/spreadsheetml/2006/main" count="1568" uniqueCount="964">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</sst>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8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70" totalsRowCount="1">
  <autoFilter ref="B5:F569"/>
  <tableColumns count="5">
    <tableColumn id="1" name="№ п/п"/>
    <tableColumn id="2" name="Наименование "/>
    <tableColumn id="3" name="Цена (руб)" totalsRowFunction="sum" dataDxfId="40" totalsRowDxfId="11"/>
    <tableColumn id="4" name="Примечание"/>
    <tableColumn id="5" name="дата" dataDxfId="39" totalsRow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"/>
    <tableColumn id="3" name="количество"/>
    <tableColumn id="4" name="цена" dataDxfId="2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1"/>
    <tableColumn id="3" name="количество"/>
    <tableColumn id="4" name="цена" dataDxfId="0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8">
      <calculatedColumnFormula>M3*2+M7</calculatedColumnFormula>
    </tableColumn>
    <tableColumn id="5" name="площадь утепления (м2)" dataDxfId="37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9"/>
    <tableColumn id="2" name="Тип" totalsRowDxfId="8"/>
    <tableColumn id="3" name="Количество (М3/шт)" totalsRowDxfId="7"/>
    <tableColumn id="4" name="Цена  (м3 или штук)" dataDxfId="36" totalsRowDxfId="6"/>
    <tableColumn id="5" name="Сумма" totalsRowFunction="custom" dataDxfId="35" totalsRowDxfId="5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4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33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32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31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30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6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5"/>
    <tableColumn id="6" name="Dekraft" dataDxfId="24"/>
    <tableColumn id="7" name="EKF" dataDxfId="23"/>
    <tableColumn id="8" name="TDM electric" dataDxfId="22"/>
    <tableColumn id="9" name="IEK" dataDxfId="21"/>
    <tableColumn id="10" name="Спец 800вт" dataDxfId="20"/>
    <tableColumn id="11" name="Столбец1" dataDxfId="19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8"/>
    <tableColumn id="6" name="Dekraft" dataDxfId="17"/>
    <tableColumn id="7" name="EKF" dataDxfId="16"/>
    <tableColumn id="8" name="TDM electric" dataDxfId="15"/>
    <tableColumn id="9" name="IEK" dataDxfId="14"/>
    <tableColumn id="10" name="Спец 800вт" dataDxfId="13"/>
    <tableColumn id="11" name="Etimat" dataDxfId="12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70"/>
  <sheetViews>
    <sheetView topLeftCell="A542" workbookViewId="0">
      <selection activeCell="C567" sqref="C567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D562" s="7"/>
      <c r="F562" s="9"/>
    </row>
    <row r="563" spans="3:6">
      <c r="D563" s="7"/>
      <c r="F563" s="9"/>
    </row>
    <row r="564" spans="3:6">
      <c r="D564" s="7"/>
      <c r="F564" s="9"/>
    </row>
    <row r="565" spans="3:6">
      <c r="D565" s="7"/>
      <c r="F565" s="9"/>
    </row>
    <row r="566" spans="3:6">
      <c r="D566" s="7"/>
      <c r="F566" s="9"/>
    </row>
    <row r="567" spans="3:6">
      <c r="D567" s="7"/>
      <c r="F567" s="9"/>
    </row>
    <row r="568" spans="3:6">
      <c r="D568" s="7"/>
      <c r="F568" s="9"/>
    </row>
    <row r="569" spans="3:6">
      <c r="D569" s="7"/>
      <c r="F569" s="9"/>
    </row>
    <row r="570" spans="3:6">
      <c r="D570" s="7">
        <f>SUBTOTAL(109,Таблица4[Цена (руб)])</f>
        <v>6362509.9900000012</v>
      </c>
      <c r="F57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tabSelected="1"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2026-09-04T15:53:13Z</dcterms:modified>
</cp:coreProperties>
</file>