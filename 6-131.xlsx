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площади утепления дома" sheetId="16" r:id="rId3"/>
    <sheet name="расчёт объёма бетона для мп1" sheetId="10" r:id="rId4"/>
    <sheet name="Расчёт балок перекрытия" sheetId="11" r:id="rId5"/>
    <sheet name="Материалы" sheetId="3" r:id="rId6"/>
    <sheet name="Расчёт арматуры" sheetId="9" r:id="rId7"/>
    <sheet name="Оси" sheetId="8" r:id="rId8"/>
    <sheet name="Высоты" sheetId="7" r:id="rId9"/>
    <sheet name="Розетки и освещение" sheetId="12" r:id="rId10"/>
    <sheet name="сравнение цен на 13_02_26" sheetId="13" r:id="rId11"/>
    <sheet name="котельная и вентиляция" sheetId="14" r:id="rId12"/>
    <sheet name="дерево заказ на 18 апр 2026" sheetId="15" r:id="rId13"/>
  </sheets>
  <calcPr calcId="162913"/>
</workbook>
</file>

<file path=xl/calcChain.xml><?xml version="1.0" encoding="utf-8"?>
<calcChain xmlns="http://schemas.openxmlformats.org/spreadsheetml/2006/main">
  <c r="F5" i="16" l="1"/>
  <c r="M13" i="16"/>
  <c r="M10" i="16"/>
  <c r="E4" i="16" s="1"/>
  <c r="F4" i="16" s="1"/>
  <c r="E3" i="16"/>
  <c r="F3" i="16" s="1"/>
  <c r="M7" i="16"/>
  <c r="M3" i="16"/>
  <c r="E6" i="16" s="1"/>
  <c r="F6" i="16" s="1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2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<sst xmlns="http://schemas.openxmlformats.org/spreadsheetml/2006/main" count="1414" uniqueCount="879">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</sst>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  <xf numFmtId="0" fontId="32" fillId="0" borderId="0" xfId="0" applyFont="1" applyAlignment="1">
      <alignment vertical="center" wrapTex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37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20" totalsRowCount="1">
  <autoFilter ref="B5:F519"/>
  <tableColumns count="5">
    <tableColumn id="1" name="№ п/п"/>
    <tableColumn id="2" name="Наименование "/>
    <tableColumn id="3" name="Цена (руб)" totalsRowFunction="sum" dataDxfId="36" totalsRowDxfId="7"/>
    <tableColumn id="4" name="Примечание"/>
    <tableColumn id="5" name="дата" dataDxfId="35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20"/>
  <sheetViews>
    <sheetView tabSelected="1" topLeftCell="A499" workbookViewId="0">
      <selection activeCell="D529" sqref="D528:D529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C509" t="s">
        <v>853</v>
      </c>
      <c r="D509" s="7">
        <v>4833</v>
      </c>
      <c r="E509" t="s">
        <v>622</v>
      </c>
      <c r="F509" s="9">
        <v>46225</v>
      </c>
    </row>
    <row r="510" spans="3:6" x14ac:dyDescent="0.25">
      <c r="C510" t="s">
        <v>854</v>
      </c>
      <c r="D510" s="7">
        <v>1814</v>
      </c>
      <c r="E510" t="s">
        <v>622</v>
      </c>
      <c r="F510" s="9">
        <v>46226</v>
      </c>
    </row>
    <row r="511" spans="3:6" x14ac:dyDescent="0.25">
      <c r="C511" t="s">
        <v>855</v>
      </c>
      <c r="D511" s="7">
        <v>4055</v>
      </c>
      <c r="E511" t="s">
        <v>622</v>
      </c>
      <c r="F511" s="9">
        <v>46228</v>
      </c>
    </row>
    <row r="512" spans="3:6" x14ac:dyDescent="0.25">
      <c r="C512" t="s">
        <v>856</v>
      </c>
      <c r="D512" s="7">
        <v>216</v>
      </c>
      <c r="E512" t="s">
        <v>232</v>
      </c>
      <c r="F512" s="9">
        <v>46228</v>
      </c>
    </row>
    <row r="513" spans="3:6" x14ac:dyDescent="0.25">
      <c r="C513" s="56" t="s">
        <v>857</v>
      </c>
      <c r="D513" s="7">
        <v>16666</v>
      </c>
      <c r="E513" t="s">
        <v>232</v>
      </c>
      <c r="F513" s="9"/>
    </row>
    <row r="514" spans="3:6" x14ac:dyDescent="0.25">
      <c r="C514" t="s">
        <v>858</v>
      </c>
      <c r="D514" s="7">
        <v>343</v>
      </c>
      <c r="E514" t="s">
        <v>232</v>
      </c>
      <c r="F514" s="9">
        <v>46225</v>
      </c>
    </row>
    <row r="515" spans="3:6" x14ac:dyDescent="0.25">
      <c r="C515" t="s">
        <v>878</v>
      </c>
      <c r="D515" s="7">
        <v>1367</v>
      </c>
      <c r="E515" t="s">
        <v>173</v>
      </c>
      <c r="F515" s="9">
        <v>46228</v>
      </c>
    </row>
    <row r="516" spans="3:6" x14ac:dyDescent="0.25">
      <c r="D516" s="7"/>
      <c r="F516" s="9"/>
    </row>
    <row r="517" spans="3:6" x14ac:dyDescent="0.25">
      <c r="D517" s="7"/>
      <c r="F517" s="9"/>
    </row>
    <row r="518" spans="3:6" x14ac:dyDescent="0.25">
      <c r="D518" s="7"/>
      <c r="F518" s="9"/>
    </row>
    <row r="519" spans="3:6" x14ac:dyDescent="0.25">
      <c r="D519" s="7"/>
      <c r="F519" s="9"/>
    </row>
    <row r="520" spans="3:6" x14ac:dyDescent="0.25">
      <c r="D520" s="7">
        <f>SUBTOTAL(109,Таблица4[Цена (руб)])</f>
        <v>5498503.0300000003</v>
      </c>
      <c r="F52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859</v>
      </c>
      <c r="C2" t="s">
        <v>865</v>
      </c>
      <c r="D2" t="s">
        <v>866</v>
      </c>
      <c r="E2" t="s">
        <v>867</v>
      </c>
      <c r="F2" t="s">
        <v>871</v>
      </c>
      <c r="G2" t="s">
        <v>1</v>
      </c>
      <c r="K2" t="s">
        <v>868</v>
      </c>
      <c r="L2" t="s">
        <v>869</v>
      </c>
      <c r="M2" t="s">
        <v>864</v>
      </c>
    </row>
    <row r="3" spans="2:13" x14ac:dyDescent="0.25">
      <c r="B3" t="s">
        <v>860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872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861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862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875</v>
      </c>
    </row>
    <row r="6" spans="2:13" x14ac:dyDescent="0.25">
      <c r="B6" t="s">
        <v>863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876</v>
      </c>
      <c r="K6" t="s">
        <v>870</v>
      </c>
      <c r="L6" t="s">
        <v>865</v>
      </c>
      <c r="M6" t="s">
        <v>864</v>
      </c>
    </row>
    <row r="7" spans="2:13" x14ac:dyDescent="0.25">
      <c r="B7" t="s">
        <v>18</v>
      </c>
      <c r="E7" s="57"/>
      <c r="F7" s="57">
        <f>SUM(F3:F6)</f>
        <v>145.78900000000002</v>
      </c>
      <c r="G7" t="s">
        <v>877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873</v>
      </c>
      <c r="L9" t="s">
        <v>869</v>
      </c>
      <c r="M9" t="s">
        <v>864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874</v>
      </c>
      <c r="L12" t="s">
        <v>865</v>
      </c>
      <c r="M12" t="s">
        <v>864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Расчёт колличества бетона </vt:lpstr>
      <vt:lpstr>Покупки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2026-07-25T21:56:45Z</dcterms:modified>
</cp:coreProperties>
</file>