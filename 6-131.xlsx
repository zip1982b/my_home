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uilding\6-131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" sheetId="6" r:id="rId2"/>
    <sheet name="расчёт объёма бетона для мп1" sheetId="10" r:id="rId3"/>
    <sheet name="Расчёт балок перекрытия" sheetId="11" r:id="rId4"/>
    <sheet name="Материалы" sheetId="3" r:id="rId5"/>
    <sheet name="Расчёт арматуры" sheetId="9" r:id="rId6"/>
    <sheet name="Оси" sheetId="8" r:id="rId7"/>
    <sheet name="Высоты" sheetId="7" r:id="rId8"/>
    <sheet name="Розетки и освещение" sheetId="12" r:id="rId9"/>
    <sheet name="сравнение цен на 13_02_26" sheetId="13" r:id="rId10"/>
    <sheet name="котельная и вентиляция" sheetId="14" r:id="rId11"/>
    <sheet name="дерево заказ на 18 апр 2026" sheetId="15" r:id="rId12"/>
  </sheets>
  <calcPr calcId="152511"/>
</workbook>
</file>

<file path=xl/calcChain.xml><?xml version="1.0" encoding="utf-8"?>
<calcChain xmlns="http://schemas.openxmlformats.org/spreadsheetml/2006/main">
  <c r="F19" i="15" l="1"/>
  <c r="E19" i="15"/>
  <c r="C72" i="12" l="1"/>
  <c r="C55" i="12"/>
  <c r="C48" i="12"/>
  <c r="C40" i="12"/>
  <c r="C32" i="12"/>
  <c r="C23" i="12"/>
  <c r="C15" i="12"/>
  <c r="H14" i="11" l="1"/>
  <c r="I3" i="11"/>
  <c r="G10" i="11"/>
  <c r="C16" i="10" l="1"/>
  <c r="C9" i="7" l="1"/>
  <c r="C8" i="7" s="1"/>
  <c r="H13" i="7" l="1"/>
  <c r="H8" i="7"/>
  <c r="H9" i="7" s="1"/>
  <c r="D8" i="9" l="1"/>
  <c r="D9" i="9" s="1"/>
  <c r="C8" i="9"/>
  <c r="C9" i="9" s="1"/>
  <c r="F22" i="8" l="1"/>
  <c r="B22" i="8"/>
  <c r="B10" i="8"/>
  <c r="F10" i="8"/>
  <c r="D386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<sst xmlns="http://schemas.openxmlformats.org/spreadsheetml/2006/main" count="1122" uniqueCount="725">
  <si>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</si>
  <si>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</si>
  <si>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</si>
  <si>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</si>
  <si>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</si>
  <si>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</si>
  <si>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</si>
  <si>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</si>
  <si>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</si>
  <si>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</si>
  <si>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</si>
  <si>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</si>
  <si>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</si>
  <si>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</si>
  <si>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</si>
  <si>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</si>
  <si>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</si>
  <si>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</si>
  <si>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</si>
  <si>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</si>
  <si>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</si>
  <si>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</si>
  <si>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</si>
  <si>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</si>
  <si>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</si>
  <si>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</si>
  <si>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</si>
  <si>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</si>
  <si>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</si>
  <si>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</si>
  <si>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</si>
  <si>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</si>
  <si>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</si>
  <si>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</si>
  <si>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</si>
  <si>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</si>
  <si>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</si>
  <si>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</si>
  <si>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</si>
  <si>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</si>
  <si>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</si>
  <si>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</si>
  <si>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</si>
  <si>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</si>
  <si>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</si>
  <si>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</si>
  <si>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</si>
  <si>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</si>
  <si>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</si>
  <si>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</si>
  <si>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</si>
  <si>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</si>
  <si>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</si>
  <si>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</si>
  <si>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</si>
  <si>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</si>
  <si>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</si>
  <si>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</si>
  <si>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</si>
  <si>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</si>
  <si>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</si>
  <si>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</si>
  <si>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</si>
  <si>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</si>
  <si>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</si>
  <si>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</si>
  <si>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</si>
  <si>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</si>
  <si>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</si>
  <si>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</si>
  <si>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</si>
  <si>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</si>
  <si>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</si>
  <si>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</si>
  <si>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</si>
  <si>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</si>
  <si>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</si>
  <si>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</si>
  <si>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</si>
  <si>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</si>
  <si>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</si>
  <si>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</si>
  <si>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</si>
  <si>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</si>
  <si>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</si>
  <si>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</si>
  <si>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</si>
  <si>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</si>
  <si>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</si>
  <si>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</si>
  <si>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</si>
  <si>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</si>
  <si>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</si>
  <si>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</si>
  <si>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</si>
  <si>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</si>
  <si>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</si>
  <si>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</si>
  <si>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</si>
  <si>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</si>
  <si>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</si>
  <si>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</si>
  <si>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</si>
  <si>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</si>
  <si>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</si>
  <si>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</si>
  <si>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</si>
  <si>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</si>
  <si>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</si>
  <si>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</si>
  <si>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</si>
  <si>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</si>
  <si>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</si>
  <si>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</si>
  <si>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</si>
  <si>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</si>
  <si>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</si>
  <si>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</si>
  <si>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</si>
  <si>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</si>
  <si>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</si>
  <si>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</si>
  <si>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</si>
  <si>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</si>
  <si>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</si>
  <si>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</si>
  <si>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</si>
  <si>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</si>
  <si>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</si>
  <si>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</si>
  <si>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</si>
  <si>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</si>
  <si>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</si>
  <si>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</si>
  <si>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</si>
  <si>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</si>
  <si>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</si>
  <si>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</si>
  <si>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</si>
  <si>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</si>
  <si>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</si>
  <si>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</si>
  <si>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</si>
  <si>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</si>
  <si>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</si>
  <si>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</si>
  <si>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</si>
  <si>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</si>
  <si>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</si>
  <si>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</si>
  <si>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</si>
  <si>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</si>
  <si>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</si>
  <si>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</si>
  <si>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</si>
  <si>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</si>
  <si>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</si>
  <si>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</si>
  <si>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</si>
  <si>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</si>
  <si>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</si>
  <si>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</si>
  <si>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</si>
  <si>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</si>
  <si>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</si>
  <si>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</si>
  <si>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</si>
  <si>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</si>
  <si>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</si>
  <si>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</si>
  <si>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</si>
  <si>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</si>
  <si>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</si>
  <si>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</si>
  <si>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</si>
  <si>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</si>
  <si>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</si>
  <si>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</si>
  <si>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</si>
  <si>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</si>
  <si>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</si>
  <si>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</si>
  <si>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</si>
  <si>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</si>
  <si>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</si>
  <si>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</si>
  <si>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</si>
  <si>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</si>
  <si>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</si>
  <si>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</si>
  <si>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</si>
  <si>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</si>
  <si>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</si>
  <si>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</si>
  <si>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</si>
  <si>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</si>
  <si>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</si>
  <si>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</si>
  <si>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</si>
  <si>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</si>
  <si>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</si>
  <si>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</si>
  <si>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</si>
  <si>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</si>
  <si>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</si>
  <si>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</si>
  <si>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</si>
  <si>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</si>
  <si>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</si>
  <si>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</si>
  <si>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</si>
  <si>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</si>
  <si>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</si>
  <si>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</si>
  <si>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</si>
  <si>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</si>
  <si>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</si>
  <si>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</si>
  <si>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</si>
  <si>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</si>
  <si>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</si>
  <si>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</si>
  <si>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</si>
  <si>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</si>
  <si>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</si>
  <si>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</si>
  <si>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</si>
  <si>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</si>
  <si>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</si>
  <si>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</si>
  <si>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</si>
  <si>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</si>
  <si>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</si>
  <si>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</si>
  <si>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</si>
  <si>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</si>
  <si>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</si>
  <si>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</si>
  <si>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</si>
  <si>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</si>
  <si>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</si>
  <si>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</si>
  <si>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</si>
  <si>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</si>
  <si>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</si>
  <si>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</si>
  <si>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</si>
  <si>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</si>
  <si>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</si>
  <si>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</si>
  <si>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</si>
  <si>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</si>
  <si>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</si>
  <si>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</si>
  <si>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</si>
  <si>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</si>
  <si>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</si>
  <si>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</si>
  <si>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</si>
  <si>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</si>
  <si>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</si>
  <si>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</si>
  <si>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</si>
  <si>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</si>
  <si>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</si>
  <si>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</si>
  <si>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</si>
  <si>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</si>
  <si>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</si>
  <si>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</si>
  <si>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</si>
  <si>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</si>
  <si>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</si>
  <si>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</si>
  <si>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</si>
  <si>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</si>
  <si>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</si>
  <si>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</si>
  <si>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</si>
  <si>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</si>
  <si>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</si>
  <si>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</si>
  <si>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</si>
  <si>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</si>
  <si>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</si>
  <si>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</si>
  <si>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</si>
  <si>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</si>
  <si>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</si>
  <si>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</si>
  <si>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</si>
  <si>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</si>
  <si>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</si>
  <si>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</si>
  <si>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</si>
  <si>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</si>
  <si>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</si>
  <si>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</si>
  <si>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</si>
  <si>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</si>
  <si>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</si>
  <si>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</si>
  <si>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</si>
  <si>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</si>
  <si>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</si>
  <si>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</si>
  <si>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</si>
  <si>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</si>
  <si>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</si>
  <si>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</si>
  <si>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</si>
  <si>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</si>
  <si>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</si>
  <si>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</si>
  <si>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</si>
  <si>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</si>
  <si>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</si>
  <si>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</si>
  <si>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</si>
  <si>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</si>
  <si>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</si>
  <si>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</si>
  <si>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</si>
  <si>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</si>
  <si>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</si>
  <si>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</si>
  <si>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</si>
  <si>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</si>
  <si>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</si>
  <si>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</si>
  <si>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</si>
  <si>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</si>
  <si>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</si>
  <si>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</si>
  <si>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</si>
  <si>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</si>
  <si>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</si>
  <si>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</si>
  <si>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</si>
  <si>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</si>
  <si>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</si>
  <si>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</si>
  <si>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</si>
  <si>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</si>
  <si>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</si>
  <si>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</si>
  <si>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</si>
  <si>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</si>
  <si>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</si>
  <si>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</si>
  <si>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</si>
  <si>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</si>
  <si>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</si>
  <si>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</si>
  <si>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</si>
  <si>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</si>
  <si>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</si>
  <si>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</si>
  <si>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</si>
  <si>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</si>
  <si>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</si>
  <si>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</si>
  <si>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</si>
  <si>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</si>
  <si>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</si>
  <si>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</si>
  <si>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</si>
  <si>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</si>
  <si>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</si>
  <si>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</si>
  <si>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</si>
  <si>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</si>
  <si>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</si>
  <si>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</si>
  <si>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</si>
  <si>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</si>
  <si>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</si>
  <si>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</si>
  <si>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</si>
  <si>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</si>
  <si>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</si>
  <si>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</si>
  <si>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</si>
  <si>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</si>
  <si>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</si>
  <si>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</si>
  <si>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</si>
  <si>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</si>
  <si>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</si>
  <si>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</si>
  <si>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</si>
  <si>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</si>
  <si>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</si>
  <si>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100 мм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</si>
  <si>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</si>
  <si>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</si>
  <si>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</si>
  <si>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</si>
  <si>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полная высота стены (газобетон)</t>
  </si>
  <si>
    <t>850+230=1080мм</t>
  </si>
  <si>
    <t>100+50+15=165 (230-165 = 65мм разница между проектами)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</si>
  <si>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</si>
  <si>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</si>
  <si>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</si>
  <si>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</si>
  <si>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</si>
  <si>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</si>
  <si>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</si>
  <si>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</si>
  <si>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</si>
  <si>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</si>
  <si>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</si>
  <si>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</si>
  <si>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</si>
  <si>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</si>
  <si>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</si>
  <si>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</si>
  <si>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</si>
  <si>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</si>
  <si>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</si>
  <si>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</si>
  <si>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</si>
  <si>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</si>
  <si>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</si>
  <si>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</si>
  <si>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</si>
  <si>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</si>
  <si>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</si>
  <si>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</si>
  <si>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</si>
  <si>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</si>
  <si>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</si>
  <si>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</si>
  <si>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</si>
  <si>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</si>
  <si>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</si>
  <si>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</si>
  <si>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</si>
  <si>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</si>
  <si>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</si>
  <si>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</si>
  <si>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</si>
  <si>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</si>
  <si>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</si>
  <si>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</si>
  <si>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</si>
  <si>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</si>
  <si>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</si>
  <si>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</si>
  <si>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</si>
  <si>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</si>
  <si>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</si>
  <si>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</si>
  <si>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</si>
  <si>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</si>
  <si>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</si>
  <si>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</si>
  <si>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</si>
  <si>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</si>
  <si>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</si>
  <si>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</si>
  <si>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</si>
  <si>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</si>
  <si>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</si>
  <si>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</si>
  <si>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</si>
  <si>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</si>
  <si>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</si>
  <si>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</si>
  <si>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</si>
  <si>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</si>
  <si>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</si>
  <si>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</si>
  <si>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</si>
  <si>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</si>
  <si>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</si>
  <si>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</si>
  <si>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</si>
  <si>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</si>
  <si>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</si>
  <si>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</si>
  <si>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</si>
  <si>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</si>
  <si>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</si>
  <si>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</si>
  <si>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</si>
  <si>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</si>
  <si>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</si>
  <si>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</si>
  <si>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</si>
  <si>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</si>
  <si>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</si>
  <si>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</si>
  <si>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</si>
  <si>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</si>
  <si>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</si>
  <si>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</si>
  <si>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</si>
  <si>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</si>
  <si>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</si>
  <si>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</si>
  <si>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</si>
  <si>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</si>
  <si>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</si>
  <si>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</si>
  <si>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</si>
  <si>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</si>
  <si>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</si>
  <si>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</si>
  <si>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</si>
  <si>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</si>
  <si>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</si>
  <si>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</si>
  <si>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</si>
  <si>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</si>
  <si>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</si>
  <si>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</si>
  <si>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</si>
  <si>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</si>
  <si>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</si>
  <si>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</si>
  <si>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</si>
  <si>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</si>
  <si>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</si>
  <si>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</si>
  <si>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</si>
  <si>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</si>
  <si>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</si>
  <si>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</si>
  <si>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</si>
  <si>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</si>
  <si>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</si>
  <si>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</si>
  <si>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</si>
  <si>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</si>
  <si>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</si>
  <si>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</si>
  <si>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</si>
  <si>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</si>
  <si>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</si>
  <si>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</si>
  <si>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</si>
  <si>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</si>
  <si>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</si>
  <si>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</si>
  <si>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</si>
  <si>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</si>
  <si>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</si>
  <si>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</si>
  <si>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</si>
  <si>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</si>
  <si>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</si>
  <si>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</si>
  <si>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</si>
  <si>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</si>
  <si>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</si>
  <si>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</si>
  <si>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</si>
  <si>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</si>
  <si>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</si>
  <si>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</si>
  <si>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</si>
  <si>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</si>
  <si>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</si>
  <si>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</si>
  <si>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</si>
  <si>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</si>
  <si>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</si>
  <si>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</si>
  <si>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</si>
  <si>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</si>
  <si>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</si>
  <si>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</si>
  <si>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</si>
  <si>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</si>
  <si>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</si>
  <si>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</si>
  <si>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</si>
  <si>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</si>
  <si>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</si>
  <si>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</si>
  <si>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</si>
  <si>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</si>
  <si>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</si>
  <si>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</si>
  <si>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</si>
  <si>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</si>
  <si>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</si>
  <si>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</si>
  <si>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</si>
  <si>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</si>
  <si>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</si>
  <si>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</si>
  <si>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</si>
  <si>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</si>
  <si>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</si>
  <si>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</si>
  <si>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</si>
  <si>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</si>
  <si>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</si>
  <si>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</si>
  <si>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</si>
  <si>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</si>
  <si>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</si>
  <si>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</si>
  <si>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</si>
  <si>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</si>
  <si>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</si>
  <si>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</si>
  <si>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</si>
  <si>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</si>
  <si>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</si>
  <si>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</si>
  <si>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</si>
  <si>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</si>
  <si>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</si>
  <si>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</si>
  <si>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</si>
  <si>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</si>
  <si>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</si>
  <si>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</si>
  <si>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</si>
  <si>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</si>
  <si>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</si>
  <si>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 xml:space="preserve"> 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</si>
  <si>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</si>
  <si>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</si>
  <si>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</si>
  <si>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</si>
  <si>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</si>
  <si>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</si>
  <si>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</si>
  <si>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</si>
  <si>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</si>
  <si>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</si>
  <si>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</si>
  <si>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</si>
  <si>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</si>
  <si>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</si>
  <si>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</si>
  <si>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</si>
  <si>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</si>
  <si>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</si>
  <si>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</si>
  <si>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</si>
  <si>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</si>
  <si>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</si>
  <si>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</si>
  <si>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</si>
  <si>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</si>
  <si>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</si>
  <si>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</si>
  <si>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</si>
  <si>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</si>
  <si>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</si>
  <si>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</si>
  <si>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</si>
  <si>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</si>
  <si>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</si>
  <si>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</si>
  <si>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</si>
  <si>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</si>
  <si>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</si>
  <si>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</si>
  <si>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</si>
  <si>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</si>
  <si>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</si>
  <si>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</si>
  <si>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</si>
  <si>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</si>
  <si>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</si>
  <si>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</si>
  <si>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</si>
  <si>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</si>
  <si>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</si>
  <si>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</si>
  <si>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</si>
  <si>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</si>
  <si>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</si>
  <si>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</si>
  <si>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</si>
  <si>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</si>
  <si>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</si>
  <si>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</si>
  <si>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</si>
  <si>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</si>
  <si>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</si>
  <si>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</si>
  <si>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</si>
  <si>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</si>
  <si>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</si>
  <si>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</si>
  <si>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</si>
  <si>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</si>
  <si>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</si>
  <si>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</si>
  <si>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</si>
  <si>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</si>
  <si>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</si>
  <si>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</si>
  <si>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</si>
  <si>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</si>
  <si>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</si>
  <si>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</si>
  <si>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</si>
  <si>
    <t>25х100х6000</t>
  </si>
  <si>
    <t>размеры</t>
  </si>
  <si>
    <t>количество</t>
  </si>
  <si>
    <t>цена на м3</t>
  </si>
  <si>
    <t>объём</t>
  </si>
  <si>
    <t>сумма (руб)</t>
  </si>
  <si>
    <t>50х50х3000</t>
  </si>
  <si>
    <t>контробрешётка 310/3 = 104 щт</t>
  </si>
  <si>
    <t>доска 25х100х6000 - 109 шт  - 26000 р\м3</t>
  </si>
  <si>
    <t>доска 50х200х6000 - 25 шт - 26000 р\м3</t>
  </si>
  <si>
    <t>доска 50х150х6000 - 3 шт - 26000 р\м3</t>
  </si>
  <si>
    <t>брус 50х50х3000 - 104 шт - 26000 р\м3</t>
  </si>
  <si>
    <t>Сергей с авито</t>
  </si>
  <si>
    <t>доставка досок манипулятором jac n90</t>
  </si>
  <si>
    <t>ПНД 32 гладкая 64.99 р х 4 метра</t>
  </si>
  <si>
    <t>труба 50 гофрированная двухслойная электрокор флекс 61 х 3м</t>
  </si>
  <si>
    <t>лента прямая (стальная перфорированная) lp 20x0,70-0,80мм 5 метров</t>
  </si>
  <si>
    <t>труба термоусаживаемая клеевая сттк (3-4:1) 55\16мм 1м -546,11р 2 метра</t>
  </si>
  <si>
    <t>диск отрезной 125х1,6мм диск по металлу DORN 2 шт</t>
  </si>
  <si>
    <t>уголок монтажный усиленный 60х60х45х1.8мм - 16 шт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</si>
</sst>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&quot;₽&quot;"/>
    <numFmt numFmtId="165" formatCode="#,##0.00\ &quot;р.&quot;"/>
  </numFmts>
  <fonts count="32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55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</cellXfs>
  <cellStyles count="2">
    <cellStyle name="Гиперссылка" xfId="1" builtinId="8"/>
    <cellStyle name="Обычный" xfId="0" builtinId="0"/>
  </cellStyles>
  <dxfs count="35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386" totalsRowCount="1">
  <autoFilter ref="B5:F385"/>
  <tableColumns count="5">
    <tableColumn id="1" name="№ п/п"/>
    <tableColumn id="2" name="Наименование "/>
    <tableColumn id="3" name="Цена (руб)" totalsRowFunction="sum" dataDxfId="34" totalsRowDxfId="1"/>
    <tableColumn id="4" name="Примечание"/>
    <tableColumn id="5" name="дата" dataDxfId="33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1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2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19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ables/table21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ables/table22.xml><?xml version="1.0" encoding="utf-8"?>
<table xmlns="http://schemas.openxmlformats.org/spreadsheetml/2006/main" id="12" name="Таблица12" displayName="Таблица12" ref="B14:F19" totalsRowShown="0">
  <autoFilter ref="B14:F19"/>
  <tableColumns count="5">
    <tableColumn id="1" name="размеры"/>
    <tableColumn id="2" name="количество"/>
    <tableColumn id="3" name="цена на м3"/>
    <tableColumn id="4" name="объём"/>
    <tableColumn id="5" name="сумма (руб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3" Type="http://schemas.openxmlformats.org/officeDocument/2006/relationships/table" Target="../tables/table11.xml"/><Relationship Id="rId7" Type="http://schemas.openxmlformats.org/officeDocument/2006/relationships/table" Target="../tables/table15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6" Type="http://schemas.openxmlformats.org/officeDocument/2006/relationships/comments" Target="../comments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386"/>
  <sheetViews>
    <sheetView tabSelected="1" topLeftCell="A361" workbookViewId="0">
      <selection activeCell="E395" sqref="E395"/>
    </sheetView>
  </sheetViews>
  <sheetFormatPr defaultRowHeight="15" x14ac:dyDescent="0.25"/>
  <cols>
    <col min="3" max="3" width="85.28515625" customWidth="1"/>
    <col min="4" max="4" width="22.5703125" customWidth="1"/>
    <col min="5" max="5" width="80.85546875" customWidth="1"/>
    <col min="6" max="6" width="11" customWidth="1"/>
    <col min="9" max="9" width="11.140625" bestFit="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406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407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408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409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410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411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412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413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414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415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416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417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418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418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420</v>
      </c>
      <c r="D231" s="7">
        <v>500</v>
      </c>
      <c r="E231" t="s">
        <v>419</v>
      </c>
      <c r="F231" s="9">
        <v>45844</v>
      </c>
    </row>
    <row r="232" spans="2:6" x14ac:dyDescent="0.25">
      <c r="B232">
        <v>228</v>
      </c>
      <c r="C232" t="s">
        <v>421</v>
      </c>
      <c r="D232" s="7">
        <v>6675</v>
      </c>
      <c r="E232" t="s">
        <v>422</v>
      </c>
      <c r="F232" s="9"/>
    </row>
    <row r="233" spans="2:6" x14ac:dyDescent="0.25">
      <c r="B233">
        <v>229</v>
      </c>
      <c r="C233" t="s">
        <v>423</v>
      </c>
      <c r="D233" s="7">
        <v>605</v>
      </c>
      <c r="E233" t="s">
        <v>173</v>
      </c>
      <c r="F233" s="9"/>
    </row>
    <row r="234" spans="2:6" x14ac:dyDescent="0.25">
      <c r="C234" t="s">
        <v>424</v>
      </c>
      <c r="D234" s="7">
        <v>1148</v>
      </c>
      <c r="E234" t="s">
        <v>173</v>
      </c>
      <c r="F234" s="9"/>
    </row>
    <row r="235" spans="2:6" x14ac:dyDescent="0.25">
      <c r="C235" s="42" t="s">
        <v>425</v>
      </c>
      <c r="D235" s="7">
        <v>153.61000000000001</v>
      </c>
      <c r="E235" t="s">
        <v>173</v>
      </c>
      <c r="F235" s="9"/>
    </row>
    <row r="236" spans="2:6" x14ac:dyDescent="0.25">
      <c r="C236" t="s">
        <v>426</v>
      </c>
      <c r="D236" s="7">
        <v>373.45</v>
      </c>
      <c r="E236" t="s">
        <v>173</v>
      </c>
      <c r="F236" s="9"/>
    </row>
    <row r="237" spans="2:6" x14ac:dyDescent="0.25">
      <c r="C237" s="42" t="s">
        <v>427</v>
      </c>
      <c r="D237" s="7">
        <v>1143</v>
      </c>
      <c r="E237" t="s">
        <v>173</v>
      </c>
      <c r="F237" s="9"/>
    </row>
    <row r="238" spans="2:6" x14ac:dyDescent="0.25">
      <c r="C238" s="42" t="s">
        <v>428</v>
      </c>
      <c r="D238" s="7">
        <v>1843</v>
      </c>
      <c r="E238" t="s">
        <v>173</v>
      </c>
      <c r="F238" s="9"/>
    </row>
    <row r="239" spans="2:6" x14ac:dyDescent="0.25">
      <c r="C239" t="s">
        <v>429</v>
      </c>
      <c r="D239" s="7">
        <v>1140</v>
      </c>
      <c r="E239" t="s">
        <v>173</v>
      </c>
      <c r="F239" s="9"/>
    </row>
    <row r="240" spans="2:6" x14ac:dyDescent="0.25">
      <c r="C240" s="18" t="s">
        <v>430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431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432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433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434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435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436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437</v>
      </c>
      <c r="D247" s="7">
        <v>881.91</v>
      </c>
      <c r="E247" t="s">
        <v>438</v>
      </c>
      <c r="F247" s="9">
        <v>45879</v>
      </c>
    </row>
    <row r="248" spans="3:6" x14ac:dyDescent="0.25">
      <c r="C248" t="s">
        <v>439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440</v>
      </c>
      <c r="D249" s="7">
        <v>785.56</v>
      </c>
      <c r="E249" t="s">
        <v>442</v>
      </c>
      <c r="F249" s="9">
        <v>45879</v>
      </c>
    </row>
    <row r="250" spans="3:6" x14ac:dyDescent="0.25">
      <c r="C250" t="s">
        <v>441</v>
      </c>
      <c r="D250" s="7">
        <v>1451.16</v>
      </c>
      <c r="E250" t="s">
        <v>446</v>
      </c>
      <c r="F250" s="9">
        <v>45879</v>
      </c>
    </row>
    <row r="251" spans="3:6" x14ac:dyDescent="0.25">
      <c r="C251" s="18" t="s">
        <v>443</v>
      </c>
      <c r="D251" s="7">
        <v>515.94000000000005</v>
      </c>
      <c r="E251" t="s">
        <v>447</v>
      </c>
      <c r="F251" s="9">
        <v>45886</v>
      </c>
    </row>
    <row r="252" spans="3:6" x14ac:dyDescent="0.25">
      <c r="C252" s="18" t="s">
        <v>444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445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468</v>
      </c>
      <c r="D254" s="7">
        <v>58000</v>
      </c>
      <c r="E254" t="s">
        <v>467</v>
      </c>
      <c r="F254" s="9">
        <v>45913</v>
      </c>
    </row>
    <row r="255" spans="3:6" x14ac:dyDescent="0.25">
      <c r="C255" t="s">
        <v>469</v>
      </c>
      <c r="D255" s="7">
        <v>194700</v>
      </c>
      <c r="E255" t="s">
        <v>470</v>
      </c>
      <c r="F255" s="9">
        <v>45915</v>
      </c>
    </row>
    <row r="256" spans="3:6" x14ac:dyDescent="0.25">
      <c r="C256" t="s">
        <v>471</v>
      </c>
      <c r="D256" s="7">
        <v>7000</v>
      </c>
      <c r="E256" t="s">
        <v>470</v>
      </c>
      <c r="F256" s="9">
        <v>45915</v>
      </c>
    </row>
    <row r="257" spans="3:6" x14ac:dyDescent="0.25">
      <c r="C257" s="18" t="s">
        <v>472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473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474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434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475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476</v>
      </c>
      <c r="D262" s="7">
        <v>4000</v>
      </c>
      <c r="E262" t="s">
        <v>477</v>
      </c>
      <c r="F262" s="9">
        <v>45916</v>
      </c>
    </row>
    <row r="263" spans="3:6" x14ac:dyDescent="0.25">
      <c r="C263" s="18" t="s">
        <v>478</v>
      </c>
      <c r="D263" s="7">
        <v>262.33999999999997</v>
      </c>
      <c r="F263" s="9">
        <v>45917</v>
      </c>
    </row>
    <row r="264" spans="3:6" x14ac:dyDescent="0.25">
      <c r="C264" s="18" t="s">
        <v>479</v>
      </c>
      <c r="D264" s="7">
        <v>56.15</v>
      </c>
      <c r="F264" s="9">
        <v>45917</v>
      </c>
    </row>
    <row r="265" spans="3:6" x14ac:dyDescent="0.25">
      <c r="C265" s="18" t="s">
        <v>480</v>
      </c>
      <c r="D265" s="7">
        <v>697.5</v>
      </c>
      <c r="E265" t="s">
        <v>481</v>
      </c>
      <c r="F265" s="9">
        <v>45917</v>
      </c>
    </row>
    <row r="266" spans="3:6" x14ac:dyDescent="0.25">
      <c r="C266" t="s">
        <v>482</v>
      </c>
      <c r="D266" s="7">
        <v>13300</v>
      </c>
      <c r="E266" t="s">
        <v>483</v>
      </c>
      <c r="F266" s="9">
        <v>45917</v>
      </c>
    </row>
    <row r="267" spans="3:6" x14ac:dyDescent="0.25">
      <c r="C267" s="18" t="s">
        <v>478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484</v>
      </c>
      <c r="D268" s="7">
        <v>124</v>
      </c>
      <c r="E268" t="s">
        <v>489</v>
      </c>
      <c r="F268" s="9">
        <v>45919</v>
      </c>
    </row>
    <row r="269" spans="3:6" x14ac:dyDescent="0.25">
      <c r="C269" s="18" t="s">
        <v>485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486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487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488</v>
      </c>
      <c r="D272" s="7">
        <v>195</v>
      </c>
      <c r="E272" t="s">
        <v>490</v>
      </c>
      <c r="F272" s="9">
        <v>45919</v>
      </c>
    </row>
    <row r="273" spans="3:6" x14ac:dyDescent="0.25">
      <c r="C273" s="18" t="s">
        <v>491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492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493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472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472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472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494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428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428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496</v>
      </c>
      <c r="D282" s="7">
        <v>11300</v>
      </c>
      <c r="E282" t="s">
        <v>495</v>
      </c>
      <c r="F282" s="9">
        <v>45946</v>
      </c>
    </row>
    <row r="283" spans="3:6" x14ac:dyDescent="0.25">
      <c r="C283" t="s">
        <v>497</v>
      </c>
      <c r="D283" s="7">
        <v>7722</v>
      </c>
      <c r="E283" t="s">
        <v>500</v>
      </c>
      <c r="F283" s="9">
        <v>45947</v>
      </c>
    </row>
    <row r="284" spans="3:6" x14ac:dyDescent="0.25">
      <c r="C284" t="s">
        <v>498</v>
      </c>
      <c r="D284" s="7">
        <v>1764</v>
      </c>
      <c r="E284" t="s">
        <v>500</v>
      </c>
      <c r="F284" s="9">
        <v>45947</v>
      </c>
    </row>
    <row r="285" spans="3:6" x14ac:dyDescent="0.25">
      <c r="C285" t="s">
        <v>499</v>
      </c>
      <c r="D285" s="7">
        <v>136</v>
      </c>
      <c r="E285" t="s">
        <v>500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500</v>
      </c>
      <c r="F286" s="9">
        <v>45947</v>
      </c>
    </row>
    <row r="287" spans="3:6" x14ac:dyDescent="0.25">
      <c r="C287" t="s">
        <v>501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502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434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503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504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505</v>
      </c>
      <c r="D292" s="7">
        <v>44500</v>
      </c>
      <c r="E292" t="s">
        <v>506</v>
      </c>
      <c r="F292" s="9">
        <v>45953</v>
      </c>
    </row>
    <row r="293" spans="3:6" x14ac:dyDescent="0.25">
      <c r="C293" t="s">
        <v>507</v>
      </c>
      <c r="D293" s="7">
        <v>44050</v>
      </c>
      <c r="E293" t="s">
        <v>508</v>
      </c>
      <c r="F293" s="9">
        <v>45954</v>
      </c>
    </row>
    <row r="294" spans="3:6" x14ac:dyDescent="0.25">
      <c r="C294" t="s">
        <v>509</v>
      </c>
      <c r="D294" s="7">
        <v>500</v>
      </c>
      <c r="E294" t="s">
        <v>510</v>
      </c>
      <c r="F294" s="9">
        <v>45954</v>
      </c>
    </row>
    <row r="295" spans="3:6" x14ac:dyDescent="0.25">
      <c r="C295" t="s">
        <v>513</v>
      </c>
      <c r="D295" s="7">
        <v>136080</v>
      </c>
      <c r="E295" t="s">
        <v>470</v>
      </c>
      <c r="F295" s="9">
        <v>45968</v>
      </c>
    </row>
    <row r="296" spans="3:6" x14ac:dyDescent="0.25">
      <c r="C296" t="s">
        <v>511</v>
      </c>
      <c r="D296" s="7">
        <v>8500</v>
      </c>
      <c r="E296" t="s">
        <v>512</v>
      </c>
      <c r="F296" s="9">
        <v>45968</v>
      </c>
    </row>
    <row r="297" spans="3:6" x14ac:dyDescent="0.25">
      <c r="C297" t="s">
        <v>514</v>
      </c>
      <c r="D297" s="7">
        <v>3290</v>
      </c>
      <c r="E297" t="s">
        <v>173</v>
      </c>
      <c r="F297" s="9">
        <v>45967</v>
      </c>
    </row>
    <row r="298" spans="3:6" x14ac:dyDescent="0.25">
      <c r="C298" s="18" t="s">
        <v>515</v>
      </c>
      <c r="D298" s="7">
        <v>2893</v>
      </c>
      <c r="E298" t="s">
        <v>173</v>
      </c>
      <c r="F298" s="9">
        <v>45972</v>
      </c>
    </row>
    <row r="299" spans="3:6" x14ac:dyDescent="0.25">
      <c r="C299" t="s">
        <v>516</v>
      </c>
      <c r="D299" s="7">
        <v>569.9</v>
      </c>
      <c r="E299" t="s">
        <v>517</v>
      </c>
      <c r="F299" s="9">
        <v>45974</v>
      </c>
    </row>
    <row r="300" spans="3:6" x14ac:dyDescent="0.25">
      <c r="C300" s="18" t="s">
        <v>518</v>
      </c>
      <c r="D300" s="7">
        <v>265.61</v>
      </c>
      <c r="E300" t="s">
        <v>173</v>
      </c>
      <c r="F300" s="9">
        <v>45979</v>
      </c>
    </row>
    <row r="301" spans="3:6" x14ac:dyDescent="0.25">
      <c r="C301" s="18" t="s">
        <v>519</v>
      </c>
      <c r="D301" s="7">
        <v>76.39</v>
      </c>
      <c r="E301" t="s">
        <v>173</v>
      </c>
      <c r="F301" s="9">
        <v>45979</v>
      </c>
    </row>
    <row r="302" spans="3:6" x14ac:dyDescent="0.25">
      <c r="C302" s="18" t="s">
        <v>520</v>
      </c>
      <c r="D302" s="7">
        <v>153</v>
      </c>
      <c r="E302" t="s">
        <v>173</v>
      </c>
      <c r="F302" s="9">
        <v>45984</v>
      </c>
    </row>
    <row r="303" spans="3:6" x14ac:dyDescent="0.25">
      <c r="C303" t="s">
        <v>521</v>
      </c>
      <c r="D303" s="7">
        <v>154.12</v>
      </c>
      <c r="E303" t="s">
        <v>173</v>
      </c>
      <c r="F303" s="9">
        <v>45995</v>
      </c>
    </row>
    <row r="304" spans="3:6" x14ac:dyDescent="0.25">
      <c r="C304" t="s">
        <v>522</v>
      </c>
      <c r="D304" s="7">
        <v>154.12</v>
      </c>
      <c r="E304" t="s">
        <v>173</v>
      </c>
      <c r="F304" s="9">
        <v>45995</v>
      </c>
    </row>
    <row r="305" spans="3:6" x14ac:dyDescent="0.25">
      <c r="C305" t="s">
        <v>523</v>
      </c>
      <c r="D305" s="7">
        <v>168.76</v>
      </c>
      <c r="E305" t="s">
        <v>173</v>
      </c>
      <c r="F305" s="9">
        <v>45995</v>
      </c>
    </row>
    <row r="306" spans="3:6" x14ac:dyDescent="0.25">
      <c r="C306" s="18" t="s">
        <v>524</v>
      </c>
      <c r="D306" s="7">
        <v>59</v>
      </c>
      <c r="E306" t="s">
        <v>173</v>
      </c>
      <c r="F306" s="20">
        <v>46001</v>
      </c>
    </row>
    <row r="307" spans="3:6" x14ac:dyDescent="0.25">
      <c r="C307" s="18" t="s">
        <v>525</v>
      </c>
      <c r="D307" s="7">
        <v>209</v>
      </c>
      <c r="E307" t="s">
        <v>173</v>
      </c>
      <c r="F307" s="20">
        <v>46001</v>
      </c>
    </row>
    <row r="308" spans="3:6" x14ac:dyDescent="0.25">
      <c r="C308" s="18" t="s">
        <v>526</v>
      </c>
      <c r="D308" s="7">
        <v>989</v>
      </c>
      <c r="E308" t="s">
        <v>173</v>
      </c>
      <c r="F308" s="20">
        <v>46001</v>
      </c>
    </row>
    <row r="309" spans="3:6" x14ac:dyDescent="0.25">
      <c r="C309" s="18" t="s">
        <v>527</v>
      </c>
      <c r="D309" s="7">
        <v>256</v>
      </c>
      <c r="E309" t="s">
        <v>173</v>
      </c>
      <c r="F309" s="20">
        <v>46001</v>
      </c>
    </row>
    <row r="310" spans="3:6" x14ac:dyDescent="0.25">
      <c r="C310" s="18" t="s">
        <v>528</v>
      </c>
      <c r="D310" s="7">
        <v>50</v>
      </c>
      <c r="E310" t="s">
        <v>173</v>
      </c>
      <c r="F310" s="20">
        <v>46001</v>
      </c>
    </row>
    <row r="311" spans="3:6" x14ac:dyDescent="0.25">
      <c r="C311" s="18" t="s">
        <v>529</v>
      </c>
      <c r="D311" s="7">
        <v>69</v>
      </c>
      <c r="E311" t="s">
        <v>173</v>
      </c>
      <c r="F311" s="20">
        <v>46001</v>
      </c>
    </row>
    <row r="312" spans="3:6" x14ac:dyDescent="0.25">
      <c r="C312" t="s">
        <v>530</v>
      </c>
      <c r="D312" s="7">
        <v>2100</v>
      </c>
      <c r="E312" t="s">
        <v>533</v>
      </c>
      <c r="F312" s="20">
        <v>46001</v>
      </c>
    </row>
    <row r="313" spans="3:6" x14ac:dyDescent="0.25">
      <c r="C313" t="s">
        <v>531</v>
      </c>
      <c r="D313" s="7">
        <v>380</v>
      </c>
      <c r="E313" t="s">
        <v>534</v>
      </c>
      <c r="F313" s="20">
        <v>46001</v>
      </c>
    </row>
    <row r="314" spans="3:6" x14ac:dyDescent="0.25">
      <c r="C314" t="s">
        <v>532</v>
      </c>
      <c r="D314" s="7">
        <v>220</v>
      </c>
      <c r="E314" t="s">
        <v>535</v>
      </c>
      <c r="F314" s="20">
        <v>46001</v>
      </c>
    </row>
    <row r="315" spans="3:6" x14ac:dyDescent="0.25">
      <c r="C315" s="18" t="s">
        <v>536</v>
      </c>
      <c r="D315" s="7">
        <v>158.31</v>
      </c>
      <c r="E315" t="s">
        <v>173</v>
      </c>
      <c r="F315" s="9">
        <v>46014</v>
      </c>
    </row>
    <row r="316" spans="3:6" x14ac:dyDescent="0.25">
      <c r="C316" s="18" t="s">
        <v>537</v>
      </c>
      <c r="D316" s="7">
        <v>367.2</v>
      </c>
      <c r="E316" t="s">
        <v>173</v>
      </c>
      <c r="F316" s="9">
        <v>46014</v>
      </c>
    </row>
    <row r="317" spans="3:6" x14ac:dyDescent="0.25">
      <c r="C317" s="18" t="s">
        <v>538</v>
      </c>
      <c r="D317" s="7">
        <v>167.68</v>
      </c>
      <c r="E317" t="s">
        <v>173</v>
      </c>
      <c r="F317" s="9">
        <v>46014</v>
      </c>
    </row>
    <row r="318" spans="3:6" x14ac:dyDescent="0.25">
      <c r="C318" s="18" t="s">
        <v>539</v>
      </c>
      <c r="D318" s="7">
        <v>550.80999999999995</v>
      </c>
      <c r="E318" t="s">
        <v>540</v>
      </c>
      <c r="F318" s="9">
        <v>46014</v>
      </c>
    </row>
    <row r="319" spans="3:6" x14ac:dyDescent="0.25">
      <c r="C319" t="s">
        <v>613</v>
      </c>
      <c r="D319" s="7">
        <v>125</v>
      </c>
      <c r="E319" t="s">
        <v>173</v>
      </c>
      <c r="F319" s="9">
        <v>46073</v>
      </c>
    </row>
    <row r="320" spans="3:6" x14ac:dyDescent="0.25">
      <c r="C320" t="s">
        <v>614</v>
      </c>
      <c r="D320" s="7">
        <v>209</v>
      </c>
      <c r="E320" t="s">
        <v>173</v>
      </c>
      <c r="F320" s="9">
        <v>46073</v>
      </c>
    </row>
    <row r="321" spans="2:6" x14ac:dyDescent="0.25">
      <c r="C321" t="s">
        <v>615</v>
      </c>
      <c r="D321" s="7">
        <v>138</v>
      </c>
      <c r="E321" t="s">
        <v>173</v>
      </c>
      <c r="F321" s="9">
        <v>46073</v>
      </c>
    </row>
    <row r="322" spans="2:6" x14ac:dyDescent="0.25">
      <c r="C322" t="s">
        <v>616</v>
      </c>
      <c r="D322" s="7">
        <v>539</v>
      </c>
      <c r="E322" t="s">
        <v>173</v>
      </c>
      <c r="F322" s="9">
        <v>46073</v>
      </c>
    </row>
    <row r="323" spans="2:6" x14ac:dyDescent="0.25">
      <c r="C323" t="s">
        <v>617</v>
      </c>
      <c r="D323" s="7">
        <v>479</v>
      </c>
      <c r="E323" t="s">
        <v>173</v>
      </c>
      <c r="F323" s="9">
        <v>46075</v>
      </c>
    </row>
    <row r="324" spans="2:6" x14ac:dyDescent="0.25">
      <c r="C324" t="s">
        <v>618</v>
      </c>
      <c r="D324" s="7">
        <v>839</v>
      </c>
      <c r="E324" t="s">
        <v>173</v>
      </c>
      <c r="F324" s="9">
        <v>46075</v>
      </c>
    </row>
    <row r="325" spans="2:6" x14ac:dyDescent="0.25">
      <c r="C325" t="s">
        <v>619</v>
      </c>
      <c r="D325" s="7">
        <v>2471</v>
      </c>
      <c r="E325" t="s">
        <v>625</v>
      </c>
      <c r="F325" s="9">
        <v>46071</v>
      </c>
    </row>
    <row r="326" spans="2:6" x14ac:dyDescent="0.25">
      <c r="C326" t="s">
        <v>620</v>
      </c>
      <c r="D326" s="7">
        <v>3700</v>
      </c>
      <c r="E326" t="s">
        <v>625</v>
      </c>
      <c r="F326" s="9">
        <v>46071</v>
      </c>
    </row>
    <row r="327" spans="2:6" x14ac:dyDescent="0.25">
      <c r="C327" t="s">
        <v>621</v>
      </c>
      <c r="D327" s="7">
        <v>473</v>
      </c>
      <c r="E327" t="s">
        <v>625</v>
      </c>
      <c r="F327" s="9">
        <v>46071</v>
      </c>
    </row>
    <row r="328" spans="2:6" x14ac:dyDescent="0.25">
      <c r="C328" t="s">
        <v>622</v>
      </c>
      <c r="D328" s="7">
        <v>2040</v>
      </c>
      <c r="E328" t="s">
        <v>625</v>
      </c>
      <c r="F328" s="9">
        <v>46070</v>
      </c>
    </row>
    <row r="329" spans="2:6" x14ac:dyDescent="0.25">
      <c r="B329" t="s">
        <v>624</v>
      </c>
      <c r="C329" t="s">
        <v>623</v>
      </c>
      <c r="D329" s="7">
        <v>348</v>
      </c>
      <c r="E329" t="s">
        <v>625</v>
      </c>
      <c r="F329" s="9">
        <v>46070</v>
      </c>
    </row>
    <row r="330" spans="2:6" x14ac:dyDescent="0.25">
      <c r="C330" t="s">
        <v>626</v>
      </c>
      <c r="D330" s="7">
        <v>988</v>
      </c>
      <c r="E330" t="s">
        <v>625</v>
      </c>
      <c r="F330" s="9">
        <v>46084</v>
      </c>
    </row>
    <row r="331" spans="2:6" x14ac:dyDescent="0.25">
      <c r="C331" t="s">
        <v>651</v>
      </c>
      <c r="D331" s="7">
        <v>8000</v>
      </c>
      <c r="E331" t="s">
        <v>272</v>
      </c>
      <c r="F331" s="9">
        <v>46098</v>
      </c>
    </row>
    <row r="332" spans="2:6" x14ac:dyDescent="0.25">
      <c r="C332" t="s">
        <v>652</v>
      </c>
      <c r="D332" s="7">
        <v>1215</v>
      </c>
      <c r="E332" t="s">
        <v>625</v>
      </c>
      <c r="F332" s="9">
        <v>46085</v>
      </c>
    </row>
    <row r="333" spans="2:6" x14ac:dyDescent="0.25">
      <c r="C333" t="s">
        <v>653</v>
      </c>
      <c r="D333" s="7">
        <v>3275</v>
      </c>
      <c r="E333" t="s">
        <v>625</v>
      </c>
      <c r="F333" s="9">
        <v>46085</v>
      </c>
    </row>
    <row r="334" spans="2:6" x14ac:dyDescent="0.25">
      <c r="C334" t="s">
        <v>654</v>
      </c>
      <c r="D334" s="7">
        <v>677</v>
      </c>
      <c r="E334" t="s">
        <v>625</v>
      </c>
      <c r="F334" s="9">
        <v>46080</v>
      </c>
    </row>
    <row r="335" spans="2:6" x14ac:dyDescent="0.25">
      <c r="C335" t="s">
        <v>655</v>
      </c>
      <c r="D335" s="7">
        <v>1123</v>
      </c>
      <c r="E335" t="s">
        <v>625</v>
      </c>
      <c r="F335" s="9">
        <v>46079</v>
      </c>
    </row>
    <row r="336" spans="2:6" x14ac:dyDescent="0.25">
      <c r="C336" s="18" t="s">
        <v>656</v>
      </c>
      <c r="D336" s="7">
        <v>127.78</v>
      </c>
      <c r="E336" t="s">
        <v>173</v>
      </c>
      <c r="F336" s="9">
        <v>46099</v>
      </c>
    </row>
    <row r="337" spans="3:6" x14ac:dyDescent="0.25">
      <c r="C337" s="18" t="s">
        <v>657</v>
      </c>
      <c r="D337" s="7">
        <v>450</v>
      </c>
      <c r="E337" t="s">
        <v>173</v>
      </c>
      <c r="F337" s="9">
        <v>46099</v>
      </c>
    </row>
    <row r="338" spans="3:6" x14ac:dyDescent="0.25">
      <c r="C338" s="18" t="s">
        <v>658</v>
      </c>
      <c r="D338" s="7">
        <v>182</v>
      </c>
      <c r="E338" t="s">
        <v>173</v>
      </c>
      <c r="F338" s="9">
        <v>46099</v>
      </c>
    </row>
    <row r="339" spans="3:6" x14ac:dyDescent="0.25">
      <c r="C339" s="18" t="s">
        <v>659</v>
      </c>
      <c r="D339" s="7">
        <v>228.89</v>
      </c>
      <c r="E339" t="s">
        <v>173</v>
      </c>
      <c r="F339" s="9">
        <v>46099</v>
      </c>
    </row>
    <row r="340" spans="3:6" x14ac:dyDescent="0.25">
      <c r="C340" s="18" t="s">
        <v>660</v>
      </c>
      <c r="D340" s="7">
        <v>228.89</v>
      </c>
      <c r="E340" t="s">
        <v>173</v>
      </c>
      <c r="F340" s="9">
        <v>46099</v>
      </c>
    </row>
    <row r="341" spans="3:6" x14ac:dyDescent="0.25">
      <c r="C341" s="18" t="s">
        <v>661</v>
      </c>
      <c r="D341" s="7">
        <v>102</v>
      </c>
      <c r="E341" t="s">
        <v>173</v>
      </c>
      <c r="F341" s="9">
        <v>46101</v>
      </c>
    </row>
    <row r="342" spans="3:6" x14ac:dyDescent="0.25">
      <c r="C342" s="18" t="s">
        <v>662</v>
      </c>
      <c r="D342" s="7">
        <v>116.15</v>
      </c>
      <c r="E342" t="s">
        <v>173</v>
      </c>
      <c r="F342" s="9">
        <v>46101</v>
      </c>
    </row>
    <row r="343" spans="3:6" x14ac:dyDescent="0.25">
      <c r="C343" s="18" t="s">
        <v>663</v>
      </c>
      <c r="D343" s="7">
        <v>224.2</v>
      </c>
      <c r="E343" t="s">
        <v>173</v>
      </c>
      <c r="F343" s="9">
        <v>46101</v>
      </c>
    </row>
    <row r="344" spans="3:6" x14ac:dyDescent="0.25">
      <c r="C344" t="s">
        <v>665</v>
      </c>
      <c r="D344" s="7">
        <v>845</v>
      </c>
      <c r="E344" t="s">
        <v>664</v>
      </c>
      <c r="F344" s="9">
        <v>46105</v>
      </c>
    </row>
    <row r="345" spans="3:6" x14ac:dyDescent="0.25">
      <c r="C345" t="s">
        <v>666</v>
      </c>
      <c r="D345" s="7">
        <v>898</v>
      </c>
      <c r="E345" t="s">
        <v>159</v>
      </c>
      <c r="F345" s="9">
        <v>46105</v>
      </c>
    </row>
    <row r="346" spans="3:6" x14ac:dyDescent="0.25">
      <c r="C346" t="s">
        <v>667</v>
      </c>
      <c r="D346" s="7">
        <v>444</v>
      </c>
      <c r="E346" t="s">
        <v>173</v>
      </c>
      <c r="F346" s="9">
        <v>46106</v>
      </c>
    </row>
    <row r="347" spans="3:6" x14ac:dyDescent="0.25">
      <c r="C347" t="s">
        <v>668</v>
      </c>
      <c r="D347" s="7">
        <v>179</v>
      </c>
      <c r="E347" t="s">
        <v>173</v>
      </c>
      <c r="F347" s="9">
        <v>46107</v>
      </c>
    </row>
    <row r="348" spans="3:6" x14ac:dyDescent="0.25">
      <c r="C348" t="s">
        <v>669</v>
      </c>
      <c r="D348" s="7">
        <v>98</v>
      </c>
      <c r="E348" t="s">
        <v>173</v>
      </c>
      <c r="F348" s="9">
        <v>46107</v>
      </c>
    </row>
    <row r="349" spans="3:6" x14ac:dyDescent="0.25">
      <c r="C349" t="s">
        <v>670</v>
      </c>
      <c r="D349" s="7">
        <v>374</v>
      </c>
      <c r="E349" t="s">
        <v>173</v>
      </c>
      <c r="F349" s="9">
        <v>46107</v>
      </c>
    </row>
    <row r="350" spans="3:6" x14ac:dyDescent="0.25">
      <c r="C350" t="s">
        <v>671</v>
      </c>
      <c r="D350" s="7">
        <v>271</v>
      </c>
      <c r="E350" t="s">
        <v>173</v>
      </c>
      <c r="F350" s="9">
        <v>46110</v>
      </c>
    </row>
    <row r="351" spans="3:6" x14ac:dyDescent="0.25">
      <c r="C351" t="s">
        <v>672</v>
      </c>
      <c r="D351" s="7">
        <v>57</v>
      </c>
      <c r="E351" t="s">
        <v>173</v>
      </c>
      <c r="F351" s="9">
        <v>46113</v>
      </c>
    </row>
    <row r="352" spans="3:6" x14ac:dyDescent="0.25">
      <c r="C352" t="s">
        <v>673</v>
      </c>
      <c r="D352" s="7">
        <v>1100</v>
      </c>
      <c r="E352" t="s">
        <v>173</v>
      </c>
      <c r="F352" s="9">
        <v>46113</v>
      </c>
    </row>
    <row r="353" spans="3:9" x14ac:dyDescent="0.25">
      <c r="C353" t="s">
        <v>674</v>
      </c>
      <c r="D353" s="7">
        <v>756</v>
      </c>
      <c r="E353" t="s">
        <v>173</v>
      </c>
      <c r="F353" s="9">
        <v>46113</v>
      </c>
    </row>
    <row r="354" spans="3:9" x14ac:dyDescent="0.25">
      <c r="C354" t="s">
        <v>675</v>
      </c>
      <c r="D354" s="7">
        <v>358</v>
      </c>
      <c r="E354" t="s">
        <v>173</v>
      </c>
      <c r="F354" s="9">
        <v>46113</v>
      </c>
    </row>
    <row r="355" spans="3:9" x14ac:dyDescent="0.25">
      <c r="C355" t="s">
        <v>187</v>
      </c>
      <c r="D355" s="7">
        <v>79</v>
      </c>
      <c r="E355" t="s">
        <v>173</v>
      </c>
      <c r="F355" s="9">
        <v>46113</v>
      </c>
    </row>
    <row r="356" spans="3:9" x14ac:dyDescent="0.25">
      <c r="C356" t="s">
        <v>44</v>
      </c>
      <c r="D356" s="7">
        <v>4000</v>
      </c>
      <c r="E356" t="s">
        <v>676</v>
      </c>
      <c r="F356" s="9">
        <v>46113</v>
      </c>
    </row>
    <row r="357" spans="3:9" x14ac:dyDescent="0.25">
      <c r="C357" s="54" t="s">
        <v>678</v>
      </c>
      <c r="D357" s="7">
        <v>6138</v>
      </c>
      <c r="E357" s="52" t="s">
        <v>677</v>
      </c>
      <c r="F357" s="9">
        <v>46119</v>
      </c>
      <c r="I357" s="7"/>
    </row>
    <row r="358" spans="3:9" x14ac:dyDescent="0.25">
      <c r="C358" s="54" t="s">
        <v>679</v>
      </c>
      <c r="D358" s="7">
        <v>8890</v>
      </c>
      <c r="E358" s="52" t="s">
        <v>677</v>
      </c>
      <c r="F358" s="9">
        <v>46119</v>
      </c>
    </row>
    <row r="359" spans="3:9" x14ac:dyDescent="0.25">
      <c r="C359" s="54" t="s">
        <v>680</v>
      </c>
      <c r="D359" s="7">
        <v>17960</v>
      </c>
      <c r="E359" s="52" t="s">
        <v>677</v>
      </c>
      <c r="F359" s="9">
        <v>46119</v>
      </c>
    </row>
    <row r="360" spans="3:9" x14ac:dyDescent="0.25">
      <c r="C360" s="53" t="s">
        <v>681</v>
      </c>
      <c r="D360" s="7">
        <v>529</v>
      </c>
      <c r="E360" s="52" t="s">
        <v>677</v>
      </c>
      <c r="F360" s="9">
        <v>46119</v>
      </c>
    </row>
    <row r="361" spans="3:9" x14ac:dyDescent="0.25">
      <c r="C361" t="s">
        <v>682</v>
      </c>
      <c r="D361" s="7">
        <v>1092.22</v>
      </c>
      <c r="E361" t="s">
        <v>685</v>
      </c>
      <c r="F361" s="9">
        <v>46123</v>
      </c>
    </row>
    <row r="362" spans="3:9" x14ac:dyDescent="0.25">
      <c r="C362" t="s">
        <v>683</v>
      </c>
      <c r="D362" s="7">
        <v>16.489999999999998</v>
      </c>
      <c r="E362" t="s">
        <v>685</v>
      </c>
      <c r="F362" s="9">
        <v>46123</v>
      </c>
    </row>
    <row r="363" spans="3:9" x14ac:dyDescent="0.25">
      <c r="C363" t="s">
        <v>684</v>
      </c>
      <c r="D363" s="7">
        <v>183</v>
      </c>
      <c r="E363" t="s">
        <v>685</v>
      </c>
      <c r="F363" s="9">
        <v>46123</v>
      </c>
    </row>
    <row r="364" spans="3:9" x14ac:dyDescent="0.25">
      <c r="C364" t="s">
        <v>686</v>
      </c>
      <c r="D364" s="7">
        <v>792</v>
      </c>
      <c r="E364" t="s">
        <v>500</v>
      </c>
      <c r="F364" s="9">
        <v>46124</v>
      </c>
    </row>
    <row r="365" spans="3:9" x14ac:dyDescent="0.25">
      <c r="C365" t="s">
        <v>687</v>
      </c>
      <c r="D365" s="7">
        <v>136</v>
      </c>
      <c r="E365" t="s">
        <v>500</v>
      </c>
      <c r="F365" s="9">
        <v>46124</v>
      </c>
    </row>
    <row r="366" spans="3:9" x14ac:dyDescent="0.25">
      <c r="C366" t="s">
        <v>688</v>
      </c>
      <c r="D366" s="7">
        <v>101</v>
      </c>
      <c r="E366" t="s">
        <v>500</v>
      </c>
      <c r="F366" s="9">
        <v>46124</v>
      </c>
    </row>
    <row r="367" spans="3:9" x14ac:dyDescent="0.25">
      <c r="C367" t="s">
        <v>689</v>
      </c>
      <c r="D367" s="7">
        <v>72</v>
      </c>
      <c r="E367" t="s">
        <v>500</v>
      </c>
      <c r="F367" s="9">
        <v>46124</v>
      </c>
    </row>
    <row r="368" spans="3:9" x14ac:dyDescent="0.25">
      <c r="C368" t="s">
        <v>690</v>
      </c>
      <c r="D368" s="7">
        <v>164</v>
      </c>
      <c r="E368" t="s">
        <v>500</v>
      </c>
      <c r="F368" s="9">
        <v>46127</v>
      </c>
    </row>
    <row r="369" spans="3:6" x14ac:dyDescent="0.25">
      <c r="C369" t="s">
        <v>691</v>
      </c>
      <c r="D369" s="7">
        <v>162</v>
      </c>
      <c r="E369" t="s">
        <v>500</v>
      </c>
      <c r="F369" s="9">
        <v>46127</v>
      </c>
    </row>
    <row r="370" spans="3:6" x14ac:dyDescent="0.25">
      <c r="C370" t="s">
        <v>713</v>
      </c>
      <c r="D370" s="7">
        <v>42510</v>
      </c>
      <c r="E370" t="s">
        <v>470</v>
      </c>
      <c r="F370" s="9">
        <v>46132</v>
      </c>
    </row>
    <row r="371" spans="3:6" x14ac:dyDescent="0.25">
      <c r="C371" t="s">
        <v>714</v>
      </c>
      <c r="D371" s="7">
        <v>39000</v>
      </c>
      <c r="E371" t="s">
        <v>470</v>
      </c>
      <c r="F371" s="9">
        <v>46132</v>
      </c>
    </row>
    <row r="372" spans="3:6" x14ac:dyDescent="0.25">
      <c r="C372" t="s">
        <v>715</v>
      </c>
      <c r="D372" s="7">
        <v>3510</v>
      </c>
      <c r="E372" t="s">
        <v>470</v>
      </c>
      <c r="F372" s="9">
        <v>46132</v>
      </c>
    </row>
    <row r="373" spans="3:6" x14ac:dyDescent="0.25">
      <c r="C373" t="s">
        <v>716</v>
      </c>
      <c r="D373" s="7">
        <v>20280</v>
      </c>
      <c r="E373" t="s">
        <v>470</v>
      </c>
      <c r="F373" s="9">
        <v>46132</v>
      </c>
    </row>
    <row r="374" spans="3:6" x14ac:dyDescent="0.25">
      <c r="C374" t="s">
        <v>718</v>
      </c>
      <c r="D374" s="7">
        <v>6000</v>
      </c>
      <c r="E374" t="s">
        <v>717</v>
      </c>
      <c r="F374" s="9">
        <v>46132</v>
      </c>
    </row>
    <row r="375" spans="3:6" x14ac:dyDescent="0.25">
      <c r="C375" t="s">
        <v>719</v>
      </c>
      <c r="D375" s="7">
        <v>259.95999999999998</v>
      </c>
      <c r="E375" t="s">
        <v>211</v>
      </c>
      <c r="F375" s="9">
        <v>46138</v>
      </c>
    </row>
    <row r="376" spans="3:6" x14ac:dyDescent="0.25">
      <c r="C376" t="s">
        <v>720</v>
      </c>
      <c r="D376" s="7">
        <v>183</v>
      </c>
      <c r="E376" t="s">
        <v>211</v>
      </c>
      <c r="F376" s="9">
        <v>46138</v>
      </c>
    </row>
    <row r="377" spans="3:6" x14ac:dyDescent="0.25">
      <c r="C377" t="s">
        <v>721</v>
      </c>
      <c r="D377" s="7">
        <v>251.23</v>
      </c>
      <c r="E377" t="s">
        <v>211</v>
      </c>
      <c r="F377" s="9">
        <v>46138</v>
      </c>
    </row>
    <row r="378" spans="3:6" x14ac:dyDescent="0.25">
      <c r="C378" t="s">
        <v>722</v>
      </c>
      <c r="D378" s="7">
        <v>1092.22</v>
      </c>
      <c r="E378" t="s">
        <v>211</v>
      </c>
      <c r="F378" s="9">
        <v>46138</v>
      </c>
    </row>
    <row r="379" spans="3:6" x14ac:dyDescent="0.25">
      <c r="C379" t="s">
        <v>658</v>
      </c>
      <c r="D379" s="7">
        <v>182.22</v>
      </c>
      <c r="E379" t="s">
        <v>173</v>
      </c>
      <c r="F379" s="9">
        <v>46138</v>
      </c>
    </row>
    <row r="380" spans="3:6" x14ac:dyDescent="0.25">
      <c r="C380" t="s">
        <v>528</v>
      </c>
      <c r="D380" s="7">
        <v>46.02</v>
      </c>
      <c r="E380" t="s">
        <v>173</v>
      </c>
      <c r="F380" s="9">
        <v>46138</v>
      </c>
    </row>
    <row r="381" spans="3:6" x14ac:dyDescent="0.25">
      <c r="C381" t="s">
        <v>723</v>
      </c>
      <c r="D381" s="7">
        <v>108.6</v>
      </c>
      <c r="E381" t="s">
        <v>173</v>
      </c>
      <c r="F381" s="9">
        <v>46138</v>
      </c>
    </row>
    <row r="382" spans="3:6" x14ac:dyDescent="0.25">
      <c r="C382" t="s">
        <v>724</v>
      </c>
      <c r="D382" s="7">
        <v>323.95999999999998</v>
      </c>
      <c r="E382" t="s">
        <v>173</v>
      </c>
      <c r="F382" s="9">
        <v>46138</v>
      </c>
    </row>
    <row r="383" spans="3:6" x14ac:dyDescent="0.25">
      <c r="D383" s="7"/>
      <c r="F383" s="9"/>
    </row>
    <row r="384" spans="3:6" x14ac:dyDescent="0.25">
      <c r="D384" s="7"/>
      <c r="F384" s="9"/>
    </row>
    <row r="385" spans="4:6" x14ac:dyDescent="0.25">
      <c r="D385" s="7"/>
      <c r="F385" s="9"/>
    </row>
    <row r="386" spans="4:6" x14ac:dyDescent="0.25">
      <c r="D386" s="7">
        <f>SUBTOTAL(109,Таблица4[Цена (руб)])</f>
        <v>4173914.7200000021</v>
      </c>
      <c r="F386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451</v>
      </c>
    </row>
    <row r="4" spans="2:4" x14ac:dyDescent="0.25">
      <c r="B4" t="s">
        <v>448</v>
      </c>
      <c r="C4">
        <v>0.47</v>
      </c>
    </row>
    <row r="5" spans="2:4" x14ac:dyDescent="0.25">
      <c r="B5" t="s">
        <v>449</v>
      </c>
      <c r="C5">
        <v>0.12</v>
      </c>
    </row>
    <row r="6" spans="2:4" x14ac:dyDescent="0.25">
      <c r="B6" t="s">
        <v>450</v>
      </c>
      <c r="C6">
        <v>0.54</v>
      </c>
    </row>
    <row r="7" spans="2:4" x14ac:dyDescent="0.25">
      <c r="B7" t="s">
        <v>452</v>
      </c>
      <c r="C7">
        <v>0.13</v>
      </c>
    </row>
    <row r="8" spans="2:4" x14ac:dyDescent="0.25">
      <c r="B8" t="s">
        <v>453</v>
      </c>
      <c r="C8">
        <v>0.45</v>
      </c>
    </row>
    <row r="9" spans="2:4" x14ac:dyDescent="0.25">
      <c r="B9" t="s">
        <v>454</v>
      </c>
      <c r="C9">
        <v>0.26</v>
      </c>
    </row>
    <row r="10" spans="2:4" x14ac:dyDescent="0.25">
      <c r="B10" t="s">
        <v>455</v>
      </c>
      <c r="C10">
        <v>0.56999999999999995</v>
      </c>
    </row>
    <row r="11" spans="2:4" x14ac:dyDescent="0.25">
      <c r="B11" t="s">
        <v>456</v>
      </c>
      <c r="C11">
        <v>0.45</v>
      </c>
    </row>
    <row r="12" spans="2:4" x14ac:dyDescent="0.25">
      <c r="B12" t="s">
        <v>457</v>
      </c>
      <c r="C12">
        <v>0.3</v>
      </c>
    </row>
    <row r="13" spans="2:4" x14ac:dyDescent="0.25">
      <c r="B13" t="s">
        <v>458</v>
      </c>
      <c r="C13">
        <v>7.0000000000000007E-2</v>
      </c>
    </row>
    <row r="14" spans="2:4" x14ac:dyDescent="0.25">
      <c r="B14" t="s">
        <v>459</v>
      </c>
      <c r="C14">
        <v>0.27</v>
      </c>
    </row>
    <row r="15" spans="2:4" x14ac:dyDescent="0.25">
      <c r="B15" t="s">
        <v>460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451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461</v>
      </c>
      <c r="D3" t="s">
        <v>463</v>
      </c>
      <c r="E3" t="s">
        <v>462</v>
      </c>
      <c r="G3">
        <v>11</v>
      </c>
      <c r="I3">
        <f>200 *100*6000</f>
        <v>120000000</v>
      </c>
      <c r="J3" t="s">
        <v>466</v>
      </c>
      <c r="K3">
        <v>0.12</v>
      </c>
      <c r="L3" t="s">
        <v>451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464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451</v>
      </c>
    </row>
    <row r="15" spans="3:12" x14ac:dyDescent="0.25">
      <c r="G15" s="23" t="s">
        <v>465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B24" sqref="B24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393</v>
      </c>
      <c r="G5" t="s">
        <v>346</v>
      </c>
      <c r="H5" s="27">
        <v>150</v>
      </c>
    </row>
    <row r="6" spans="1:11" x14ac:dyDescent="0.25">
      <c r="B6" t="s">
        <v>347</v>
      </c>
      <c r="C6" s="27">
        <v>50</v>
      </c>
      <c r="D6" t="s">
        <v>394</v>
      </c>
      <c r="G6" t="s">
        <v>347</v>
      </c>
      <c r="H6" s="27">
        <v>60</v>
      </c>
    </row>
    <row r="7" spans="1:11" x14ac:dyDescent="0.25">
      <c r="B7" t="s">
        <v>348</v>
      </c>
      <c r="C7" s="28">
        <v>15</v>
      </c>
      <c r="D7" t="s">
        <v>400</v>
      </c>
      <c r="G7" t="s">
        <v>348</v>
      </c>
      <c r="H7" s="28">
        <v>20</v>
      </c>
      <c r="I7" s="29" t="s">
        <v>401</v>
      </c>
    </row>
    <row r="8" spans="1:11" x14ac:dyDescent="0.25">
      <c r="B8" t="s">
        <v>398</v>
      </c>
      <c r="C8" s="36">
        <f>C9-250</f>
        <v>2765</v>
      </c>
      <c r="D8" t="s">
        <v>396</v>
      </c>
      <c r="G8" t="s">
        <v>395</v>
      </c>
      <c r="H8" s="23">
        <f>2550+H5+H6+H7</f>
        <v>2780</v>
      </c>
      <c r="I8" t="s">
        <v>402</v>
      </c>
    </row>
    <row r="9" spans="1:11" x14ac:dyDescent="0.25">
      <c r="B9" t="s">
        <v>397</v>
      </c>
      <c r="C9" s="24">
        <f>C5+C6+C7+850+1500+500</f>
        <v>3015</v>
      </c>
      <c r="G9" t="s">
        <v>397</v>
      </c>
      <c r="H9" s="24">
        <f>H8+250</f>
        <v>3030</v>
      </c>
      <c r="I9" t="s">
        <v>403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405</v>
      </c>
      <c r="F13" s="23"/>
      <c r="G13" t="s">
        <v>404</v>
      </c>
      <c r="H13" s="24">
        <f>850+H5+H6+H7</f>
        <v>1080</v>
      </c>
      <c r="I13" t="s">
        <v>399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52" workbookViewId="0">
      <selection activeCell="B78" sqref="B78"/>
    </sheetView>
  </sheetViews>
  <sheetFormatPr defaultRowHeight="15" x14ac:dyDescent="0.2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 x14ac:dyDescent="0.3">
      <c r="B3" s="8" t="s">
        <v>577</v>
      </c>
    </row>
    <row r="4" spans="2:4" x14ac:dyDescent="0.25">
      <c r="B4" t="s">
        <v>541</v>
      </c>
      <c r="C4" t="s">
        <v>576</v>
      </c>
      <c r="D4" t="s">
        <v>1</v>
      </c>
    </row>
    <row r="5" spans="2:4" x14ac:dyDescent="0.25">
      <c r="B5" t="s">
        <v>542</v>
      </c>
      <c r="C5" s="23">
        <v>2</v>
      </c>
      <c r="D5" t="s">
        <v>550</v>
      </c>
    </row>
    <row r="6" spans="2:4" x14ac:dyDescent="0.25">
      <c r="B6" t="s">
        <v>544</v>
      </c>
      <c r="C6" s="23">
        <v>1</v>
      </c>
    </row>
    <row r="7" spans="2:4" x14ac:dyDescent="0.25">
      <c r="B7" t="s">
        <v>543</v>
      </c>
      <c r="C7" s="23">
        <v>1</v>
      </c>
    </row>
    <row r="8" spans="2:4" x14ac:dyDescent="0.25">
      <c r="B8" t="s">
        <v>545</v>
      </c>
      <c r="C8" s="23">
        <v>1</v>
      </c>
    </row>
    <row r="9" spans="2:4" x14ac:dyDescent="0.25">
      <c r="B9" t="s">
        <v>548</v>
      </c>
      <c r="C9" s="23">
        <v>2</v>
      </c>
    </row>
    <row r="10" spans="2:4" x14ac:dyDescent="0.25">
      <c r="B10" t="s">
        <v>546</v>
      </c>
      <c r="C10" s="23">
        <v>3</v>
      </c>
    </row>
    <row r="11" spans="2:4" x14ac:dyDescent="0.25">
      <c r="B11" t="s">
        <v>547</v>
      </c>
      <c r="C11" s="23">
        <v>1</v>
      </c>
    </row>
    <row r="12" spans="2:4" x14ac:dyDescent="0.25">
      <c r="B12" t="s">
        <v>554</v>
      </c>
      <c r="C12" s="23">
        <v>3</v>
      </c>
    </row>
    <row r="13" spans="2:4" x14ac:dyDescent="0.25">
      <c r="B13" t="s">
        <v>549</v>
      </c>
      <c r="C13" s="23">
        <v>1</v>
      </c>
    </row>
    <row r="14" spans="2:4" x14ac:dyDescent="0.25">
      <c r="B14" t="s">
        <v>552</v>
      </c>
      <c r="C14" s="23">
        <v>3</v>
      </c>
    </row>
    <row r="15" spans="2:4" x14ac:dyDescent="0.25">
      <c r="B15" t="s">
        <v>553</v>
      </c>
      <c r="C15" s="23">
        <f>SUM(C5:C14)</f>
        <v>18</v>
      </c>
    </row>
    <row r="18" spans="2:4" ht="18.75" x14ac:dyDescent="0.3">
      <c r="B18" s="8" t="s">
        <v>578</v>
      </c>
    </row>
    <row r="19" spans="2:4" x14ac:dyDescent="0.25">
      <c r="B19" t="s">
        <v>541</v>
      </c>
      <c r="C19" t="s">
        <v>551</v>
      </c>
      <c r="D19" t="s">
        <v>1</v>
      </c>
    </row>
    <row r="20" spans="2:4" x14ac:dyDescent="0.25">
      <c r="B20" t="s">
        <v>556</v>
      </c>
      <c r="C20" s="23">
        <v>4</v>
      </c>
      <c r="D20" t="s">
        <v>550</v>
      </c>
    </row>
    <row r="21" spans="2:4" x14ac:dyDescent="0.25">
      <c r="B21" t="s">
        <v>554</v>
      </c>
      <c r="C21" s="23">
        <v>3</v>
      </c>
    </row>
    <row r="22" spans="2:4" x14ac:dyDescent="0.25">
      <c r="B22" t="s">
        <v>555</v>
      </c>
      <c r="C22" s="23">
        <v>2</v>
      </c>
    </row>
    <row r="23" spans="2:4" x14ac:dyDescent="0.25">
      <c r="B23" t="s">
        <v>553</v>
      </c>
      <c r="C23" s="23">
        <f>SUM(C20:C22)</f>
        <v>9</v>
      </c>
    </row>
    <row r="24" spans="2:4" x14ac:dyDescent="0.25">
      <c r="C24" s="23"/>
    </row>
    <row r="25" spans="2:4" x14ac:dyDescent="0.25">
      <c r="C25" s="23"/>
    </row>
    <row r="26" spans="2:4" x14ac:dyDescent="0.25">
      <c r="C26" s="23"/>
    </row>
    <row r="27" spans="2:4" ht="18.75" x14ac:dyDescent="0.3">
      <c r="B27" s="8" t="s">
        <v>579</v>
      </c>
      <c r="C27" s="23"/>
    </row>
    <row r="28" spans="2:4" x14ac:dyDescent="0.25">
      <c r="B28" t="s">
        <v>541</v>
      </c>
      <c r="C28" t="s">
        <v>551</v>
      </c>
      <c r="D28" t="s">
        <v>1</v>
      </c>
    </row>
    <row r="29" spans="2:4" x14ac:dyDescent="0.25">
      <c r="B29" t="s">
        <v>556</v>
      </c>
      <c r="C29" s="23">
        <v>4</v>
      </c>
      <c r="D29" t="s">
        <v>550</v>
      </c>
    </row>
    <row r="30" spans="2:4" x14ac:dyDescent="0.25">
      <c r="B30" t="s">
        <v>554</v>
      </c>
      <c r="C30" s="23">
        <v>3</v>
      </c>
    </row>
    <row r="31" spans="2:4" x14ac:dyDescent="0.25">
      <c r="B31" t="s">
        <v>555</v>
      </c>
      <c r="C31" s="23">
        <v>2</v>
      </c>
    </row>
    <row r="32" spans="2:4" x14ac:dyDescent="0.25">
      <c r="B32" t="s">
        <v>553</v>
      </c>
      <c r="C32" s="23">
        <f>SUM(C29:C31)</f>
        <v>9</v>
      </c>
    </row>
    <row r="35" spans="2:4" ht="18.75" x14ac:dyDescent="0.3">
      <c r="B35" s="8" t="s">
        <v>580</v>
      </c>
      <c r="C35" s="23"/>
    </row>
    <row r="36" spans="2:4" x14ac:dyDescent="0.25">
      <c r="B36" t="s">
        <v>541</v>
      </c>
      <c r="C36" t="s">
        <v>551</v>
      </c>
      <c r="D36" t="s">
        <v>1</v>
      </c>
    </row>
    <row r="37" spans="2:4" x14ac:dyDescent="0.25">
      <c r="B37" t="s">
        <v>556</v>
      </c>
      <c r="C37" s="23">
        <v>4</v>
      </c>
      <c r="D37" t="s">
        <v>550</v>
      </c>
    </row>
    <row r="38" spans="2:4" x14ac:dyDescent="0.25">
      <c r="B38" t="s">
        <v>554</v>
      </c>
      <c r="C38" s="23">
        <v>3</v>
      </c>
    </row>
    <row r="39" spans="2:4" x14ac:dyDescent="0.25">
      <c r="B39" t="s">
        <v>555</v>
      </c>
      <c r="C39" s="23">
        <v>2</v>
      </c>
    </row>
    <row r="40" spans="2:4" x14ac:dyDescent="0.25">
      <c r="B40" t="s">
        <v>553</v>
      </c>
      <c r="C40" s="23">
        <f>SUM(C37:C39)</f>
        <v>9</v>
      </c>
    </row>
    <row r="43" spans="2:4" ht="18.75" x14ac:dyDescent="0.3">
      <c r="B43" s="8" t="s">
        <v>581</v>
      </c>
      <c r="C43" s="23"/>
    </row>
    <row r="44" spans="2:4" x14ac:dyDescent="0.25">
      <c r="B44" t="s">
        <v>541</v>
      </c>
      <c r="C44" t="s">
        <v>551</v>
      </c>
      <c r="D44" t="s">
        <v>1</v>
      </c>
    </row>
    <row r="45" spans="2:4" x14ac:dyDescent="0.25">
      <c r="B45" t="s">
        <v>558</v>
      </c>
      <c r="C45" s="23">
        <v>2</v>
      </c>
      <c r="D45" t="s">
        <v>560</v>
      </c>
    </row>
    <row r="46" spans="2:4" x14ac:dyDescent="0.25">
      <c r="B46" t="s">
        <v>557</v>
      </c>
      <c r="C46" s="23">
        <v>1</v>
      </c>
      <c r="D46" t="s">
        <v>561</v>
      </c>
    </row>
    <row r="47" spans="2:4" x14ac:dyDescent="0.25">
      <c r="B47" t="s">
        <v>559</v>
      </c>
      <c r="C47" s="23">
        <v>2</v>
      </c>
      <c r="D47" t="s">
        <v>561</v>
      </c>
    </row>
    <row r="48" spans="2:4" x14ac:dyDescent="0.25">
      <c r="B48" t="s">
        <v>553</v>
      </c>
      <c r="C48" s="23">
        <f>SUM(C45:C47)</f>
        <v>5</v>
      </c>
    </row>
    <row r="51" spans="2:4" ht="18.75" x14ac:dyDescent="0.3">
      <c r="B51" s="8" t="s">
        <v>582</v>
      </c>
      <c r="C51" s="23"/>
    </row>
    <row r="52" spans="2:4" x14ac:dyDescent="0.25">
      <c r="B52" t="s">
        <v>541</v>
      </c>
      <c r="C52" t="s">
        <v>551</v>
      </c>
      <c r="D52" t="s">
        <v>1</v>
      </c>
    </row>
    <row r="53" spans="2:4" x14ac:dyDescent="0.25">
      <c r="B53" t="s">
        <v>562</v>
      </c>
      <c r="C53" s="23">
        <v>1</v>
      </c>
      <c r="D53" t="s">
        <v>560</v>
      </c>
    </row>
    <row r="54" spans="2:4" x14ac:dyDescent="0.25">
      <c r="B54" t="s">
        <v>563</v>
      </c>
      <c r="C54" s="23">
        <v>1</v>
      </c>
      <c r="D54" t="s">
        <v>561</v>
      </c>
    </row>
    <row r="55" spans="2:4" x14ac:dyDescent="0.25">
      <c r="B55" t="s">
        <v>553</v>
      </c>
      <c r="C55" s="23">
        <f>SUM(C53:C54)</f>
        <v>2</v>
      </c>
    </row>
    <row r="56" spans="2:4" x14ac:dyDescent="0.25">
      <c r="C56" s="23"/>
    </row>
    <row r="58" spans="2:4" ht="18.75" x14ac:dyDescent="0.3">
      <c r="B58" s="8" t="s">
        <v>583</v>
      </c>
      <c r="C58" s="23"/>
    </row>
    <row r="59" spans="2:4" x14ac:dyDescent="0.25">
      <c r="B59" t="s">
        <v>541</v>
      </c>
      <c r="C59" t="s">
        <v>551</v>
      </c>
      <c r="D59" t="s">
        <v>1</v>
      </c>
    </row>
    <row r="60" spans="2:4" x14ac:dyDescent="0.25">
      <c r="B60" t="s">
        <v>564</v>
      </c>
      <c r="C60" s="23">
        <v>2</v>
      </c>
      <c r="D60" t="s">
        <v>550</v>
      </c>
    </row>
    <row r="61" spans="2:4" x14ac:dyDescent="0.25">
      <c r="B61" t="s">
        <v>565</v>
      </c>
      <c r="C61" s="23">
        <v>2</v>
      </c>
    </row>
    <row r="62" spans="2:4" x14ac:dyDescent="0.25">
      <c r="B62" t="s">
        <v>566</v>
      </c>
      <c r="C62" s="23">
        <v>1</v>
      </c>
    </row>
    <row r="63" spans="2:4" x14ac:dyDescent="0.25">
      <c r="B63" t="s">
        <v>567</v>
      </c>
      <c r="C63" s="23">
        <v>1</v>
      </c>
      <c r="D63" t="s">
        <v>569</v>
      </c>
    </row>
    <row r="64" spans="2:4" x14ac:dyDescent="0.25">
      <c r="B64" t="s">
        <v>568</v>
      </c>
      <c r="C64" s="23">
        <v>1</v>
      </c>
      <c r="D64" t="s">
        <v>570</v>
      </c>
    </row>
    <row r="65" spans="2:4" x14ac:dyDescent="0.25">
      <c r="B65" t="s">
        <v>571</v>
      </c>
      <c r="C65" s="23"/>
      <c r="D65" t="s">
        <v>572</v>
      </c>
    </row>
    <row r="66" spans="2:4" x14ac:dyDescent="0.25">
      <c r="C66" s="23"/>
      <c r="D66" t="s">
        <v>575</v>
      </c>
    </row>
    <row r="67" spans="2:4" x14ac:dyDescent="0.25">
      <c r="C67" s="23"/>
    </row>
    <row r="68" spans="2:4" ht="18.75" x14ac:dyDescent="0.3">
      <c r="B68" s="8" t="s">
        <v>584</v>
      </c>
      <c r="C68" s="23"/>
    </row>
    <row r="69" spans="2:4" x14ac:dyDescent="0.25">
      <c r="B69" t="s">
        <v>541</v>
      </c>
      <c r="C69" t="s">
        <v>551</v>
      </c>
      <c r="D69" t="s">
        <v>1</v>
      </c>
    </row>
    <row r="70" spans="2:4" x14ac:dyDescent="0.25">
      <c r="B70" t="s">
        <v>573</v>
      </c>
      <c r="C70" s="23">
        <v>1</v>
      </c>
      <c r="D70" t="s">
        <v>550</v>
      </c>
    </row>
    <row r="71" spans="2:4" x14ac:dyDescent="0.25">
      <c r="B71" t="s">
        <v>574</v>
      </c>
      <c r="C71" s="23">
        <v>1</v>
      </c>
    </row>
    <row r="72" spans="2:4" x14ac:dyDescent="0.25">
      <c r="B72" t="s">
        <v>553</v>
      </c>
      <c r="C72" s="23">
        <f>SUM(C70:C71)</f>
        <v>2</v>
      </c>
    </row>
    <row r="75" spans="2:4" x14ac:dyDescent="0.25">
      <c r="B75" t="s">
        <v>585</v>
      </c>
    </row>
    <row r="76" spans="2:4" x14ac:dyDescent="0.25">
      <c r="B76" t="s">
        <v>586</v>
      </c>
    </row>
    <row r="77" spans="2:4" x14ac:dyDescent="0.25">
      <c r="B77" t="s">
        <v>587</v>
      </c>
    </row>
    <row r="78" spans="2:4" x14ac:dyDescent="0.25">
      <c r="B78" t="s">
        <v>588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 x14ac:dyDescent="0.2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 x14ac:dyDescent="0.25">
      <c r="B3" s="11" t="s">
        <v>173</v>
      </c>
      <c r="E3" s="11" t="s">
        <v>589</v>
      </c>
    </row>
    <row r="4" spans="2:12" x14ac:dyDescent="0.25">
      <c r="B4" s="11" t="s">
        <v>590</v>
      </c>
      <c r="C4" t="s">
        <v>597</v>
      </c>
      <c r="E4" s="11" t="s">
        <v>590</v>
      </c>
      <c r="F4" t="s">
        <v>605</v>
      </c>
      <c r="G4" t="s">
        <v>606</v>
      </c>
      <c r="H4" t="s">
        <v>607</v>
      </c>
      <c r="I4" t="s">
        <v>608</v>
      </c>
      <c r="J4" t="s">
        <v>609</v>
      </c>
      <c r="K4" t="s">
        <v>610</v>
      </c>
      <c r="L4" t="s">
        <v>604</v>
      </c>
    </row>
    <row r="5" spans="2:12" x14ac:dyDescent="0.25">
      <c r="B5" t="s">
        <v>591</v>
      </c>
      <c r="C5" s="7">
        <v>2790</v>
      </c>
      <c r="D5" s="7"/>
      <c r="E5" t="s">
        <v>591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 x14ac:dyDescent="0.25">
      <c r="B6" t="s">
        <v>592</v>
      </c>
      <c r="C6" s="7">
        <v>2890</v>
      </c>
      <c r="D6" s="7"/>
      <c r="E6" t="s">
        <v>592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 x14ac:dyDescent="0.25">
      <c r="B7" t="s">
        <v>593</v>
      </c>
      <c r="C7" s="7">
        <v>1390</v>
      </c>
      <c r="D7" s="7"/>
      <c r="E7" t="s">
        <v>593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 x14ac:dyDescent="0.25">
      <c r="B8" t="s">
        <v>594</v>
      </c>
      <c r="C8" s="7">
        <v>339</v>
      </c>
      <c r="D8" s="7"/>
      <c r="E8" t="s">
        <v>594</v>
      </c>
      <c r="F8" s="7"/>
      <c r="G8" s="7"/>
      <c r="H8" s="7"/>
      <c r="I8" s="7"/>
      <c r="J8" s="7"/>
      <c r="K8" s="7"/>
      <c r="L8" s="7"/>
    </row>
    <row r="9" spans="2:12" x14ac:dyDescent="0.25">
      <c r="B9" t="s">
        <v>595</v>
      </c>
      <c r="C9" s="7">
        <v>5190</v>
      </c>
      <c r="D9" s="7"/>
      <c r="E9" t="s">
        <v>595</v>
      </c>
      <c r="F9" s="7"/>
      <c r="G9" s="7"/>
      <c r="H9" s="7"/>
      <c r="I9" s="7"/>
      <c r="J9" s="7"/>
      <c r="K9" s="7"/>
      <c r="L9" s="7"/>
    </row>
    <row r="10" spans="2:12" x14ac:dyDescent="0.25">
      <c r="B10" t="s">
        <v>596</v>
      </c>
      <c r="C10" s="7">
        <v>329</v>
      </c>
      <c r="D10" s="7"/>
      <c r="E10" t="s">
        <v>596</v>
      </c>
      <c r="F10" s="7"/>
      <c r="G10" s="7">
        <v>357</v>
      </c>
      <c r="H10" s="7"/>
      <c r="I10" s="7"/>
      <c r="J10" s="7"/>
      <c r="K10" s="7"/>
      <c r="L10" s="7"/>
    </row>
    <row r="11" spans="2:12" x14ac:dyDescent="0.25">
      <c r="B11" t="s">
        <v>598</v>
      </c>
      <c r="C11" s="7"/>
      <c r="D11" s="7"/>
      <c r="E11" t="s">
        <v>598</v>
      </c>
      <c r="F11" s="7"/>
      <c r="G11" s="7"/>
      <c r="H11" s="7"/>
      <c r="I11" s="7"/>
      <c r="J11" s="7"/>
      <c r="K11" s="7"/>
      <c r="L11" s="7"/>
    </row>
    <row r="12" spans="2:12" x14ac:dyDescent="0.25">
      <c r="B12" t="s">
        <v>599</v>
      </c>
      <c r="C12" s="7">
        <v>125</v>
      </c>
      <c r="D12" s="7"/>
      <c r="E12" t="s">
        <v>599</v>
      </c>
      <c r="F12" s="7"/>
      <c r="G12" s="7"/>
      <c r="H12" s="7"/>
      <c r="I12" s="7"/>
      <c r="J12" s="7"/>
      <c r="K12" s="7"/>
      <c r="L12" s="7"/>
    </row>
    <row r="13" spans="2:12" x14ac:dyDescent="0.25">
      <c r="B13" t="s">
        <v>600</v>
      </c>
      <c r="C13" s="7">
        <v>299</v>
      </c>
      <c r="D13" s="7"/>
      <c r="E13" t="s">
        <v>600</v>
      </c>
      <c r="F13" s="7"/>
      <c r="G13" s="7"/>
      <c r="H13" s="7"/>
      <c r="I13" s="7"/>
      <c r="J13" s="7"/>
      <c r="K13" s="7"/>
      <c r="L13" s="7"/>
    </row>
    <row r="14" spans="2:12" x14ac:dyDescent="0.25">
      <c r="C14" s="7"/>
      <c r="D14" s="7"/>
      <c r="F14" s="7"/>
      <c r="G14" s="7"/>
      <c r="H14" s="7"/>
      <c r="I14" s="7"/>
      <c r="J14" s="7"/>
      <c r="K14" s="7"/>
      <c r="L14" s="7"/>
    </row>
    <row r="15" spans="2:12" x14ac:dyDescent="0.25">
      <c r="B15" t="s">
        <v>601</v>
      </c>
      <c r="C15" s="7">
        <v>3190</v>
      </c>
      <c r="D15" s="7"/>
      <c r="E15" t="s">
        <v>601</v>
      </c>
      <c r="F15" s="7"/>
      <c r="G15" s="7"/>
      <c r="H15" s="7"/>
      <c r="I15" s="7"/>
      <c r="J15" s="7"/>
      <c r="K15" s="7">
        <v>2472</v>
      </c>
      <c r="L15" s="7"/>
    </row>
    <row r="16" spans="2:12" x14ac:dyDescent="0.25">
      <c r="B16" t="s">
        <v>602</v>
      </c>
      <c r="C16" s="7">
        <v>1790</v>
      </c>
      <c r="D16" s="7"/>
      <c r="E16" t="s">
        <v>602</v>
      </c>
      <c r="F16" s="7"/>
      <c r="G16" s="7"/>
      <c r="H16" s="7"/>
      <c r="I16" s="7"/>
      <c r="J16" s="7"/>
      <c r="K16" s="7">
        <v>2063</v>
      </c>
      <c r="L16" s="7"/>
    </row>
    <row r="17" spans="2:12" x14ac:dyDescent="0.25">
      <c r="B17" t="s">
        <v>603</v>
      </c>
      <c r="C17" s="7">
        <v>109</v>
      </c>
      <c r="D17" s="7"/>
      <c r="E17" t="s">
        <v>603</v>
      </c>
      <c r="F17" s="7"/>
      <c r="G17" s="7"/>
      <c r="H17" s="7"/>
      <c r="I17" s="7"/>
      <c r="J17" s="7"/>
      <c r="K17" s="7"/>
      <c r="L17" s="7">
        <v>181</v>
      </c>
    </row>
    <row r="21" spans="2:12" x14ac:dyDescent="0.25">
      <c r="B21" s="11"/>
      <c r="E21" s="11" t="s">
        <v>611</v>
      </c>
    </row>
    <row r="22" spans="2:12" x14ac:dyDescent="0.25">
      <c r="B22" s="11"/>
      <c r="E22" s="11" t="s">
        <v>590</v>
      </c>
      <c r="F22" t="s">
        <v>605</v>
      </c>
      <c r="G22" t="s">
        <v>606</v>
      </c>
      <c r="H22" t="s">
        <v>607</v>
      </c>
      <c r="I22" t="s">
        <v>608</v>
      </c>
      <c r="J22" t="s">
        <v>609</v>
      </c>
      <c r="K22" t="s">
        <v>610</v>
      </c>
      <c r="L22" t="s">
        <v>612</v>
      </c>
    </row>
    <row r="23" spans="2:12" x14ac:dyDescent="0.25">
      <c r="C23" s="7"/>
      <c r="E23" t="s">
        <v>591</v>
      </c>
      <c r="F23" s="7"/>
      <c r="G23" s="7"/>
      <c r="H23" s="7"/>
      <c r="I23" s="7"/>
      <c r="J23" s="7"/>
      <c r="K23" s="7"/>
      <c r="L23" s="7">
        <v>2524</v>
      </c>
    </row>
    <row r="24" spans="2:12" x14ac:dyDescent="0.25">
      <c r="C24" s="7"/>
      <c r="E24" t="s">
        <v>592</v>
      </c>
      <c r="F24" s="7"/>
      <c r="G24" s="7"/>
      <c r="H24" s="7"/>
      <c r="I24" s="7"/>
      <c r="J24" s="7"/>
      <c r="K24" s="7"/>
      <c r="L24" s="7">
        <v>2524</v>
      </c>
    </row>
    <row r="25" spans="2:12" x14ac:dyDescent="0.25">
      <c r="C25" s="7"/>
      <c r="E25" t="s">
        <v>593</v>
      </c>
      <c r="F25" s="7"/>
      <c r="G25" s="7"/>
      <c r="H25" s="7"/>
      <c r="I25" s="7"/>
      <c r="J25" s="7">
        <v>840</v>
      </c>
      <c r="K25" s="7"/>
      <c r="L25" s="7"/>
    </row>
    <row r="26" spans="2:12" x14ac:dyDescent="0.25">
      <c r="C26" s="7"/>
      <c r="E26" t="s">
        <v>594</v>
      </c>
      <c r="F26" s="7"/>
      <c r="G26" s="7"/>
      <c r="H26" s="7"/>
      <c r="I26" s="7"/>
      <c r="J26" s="7"/>
      <c r="K26" s="7"/>
      <c r="L26" s="7"/>
    </row>
    <row r="27" spans="2:12" x14ac:dyDescent="0.25">
      <c r="C27" s="7"/>
      <c r="E27" t="s">
        <v>595</v>
      </c>
      <c r="F27" s="7"/>
      <c r="G27" s="7"/>
      <c r="H27" s="7"/>
      <c r="I27" s="7"/>
      <c r="J27" s="7">
        <v>6256</v>
      </c>
      <c r="K27" s="7"/>
      <c r="L27" s="7"/>
    </row>
    <row r="28" spans="2:12" x14ac:dyDescent="0.25">
      <c r="C28" s="7"/>
      <c r="E28" t="s">
        <v>596</v>
      </c>
      <c r="F28" s="7"/>
      <c r="G28" s="7"/>
      <c r="H28" s="7"/>
      <c r="I28" s="7"/>
      <c r="J28" s="7">
        <v>262</v>
      </c>
      <c r="K28" s="7"/>
      <c r="L28" s="7"/>
    </row>
    <row r="29" spans="2:12" x14ac:dyDescent="0.25">
      <c r="C29" s="7"/>
      <c r="E29" t="s">
        <v>598</v>
      </c>
      <c r="F29" s="7"/>
      <c r="G29" s="7"/>
      <c r="H29" s="7"/>
      <c r="I29" s="7"/>
      <c r="J29" s="7"/>
      <c r="K29" s="7"/>
      <c r="L29" s="7"/>
    </row>
    <row r="30" spans="2:12" x14ac:dyDescent="0.25">
      <c r="C30" s="7"/>
      <c r="E30" t="s">
        <v>599</v>
      </c>
      <c r="F30" s="7"/>
      <c r="G30" s="7"/>
      <c r="H30" s="7"/>
      <c r="I30" s="7"/>
      <c r="J30" s="7">
        <v>263</v>
      </c>
      <c r="K30" s="7"/>
      <c r="L30" s="7"/>
    </row>
    <row r="31" spans="2:12" x14ac:dyDescent="0.25">
      <c r="C31" s="7"/>
      <c r="E31" t="s">
        <v>600</v>
      </c>
      <c r="F31" s="7"/>
      <c r="G31" s="7"/>
      <c r="H31" s="7"/>
      <c r="I31" s="7"/>
      <c r="J31" s="7">
        <v>647</v>
      </c>
      <c r="K31" s="7"/>
      <c r="L31" s="7"/>
    </row>
    <row r="32" spans="2:12" x14ac:dyDescent="0.25">
      <c r="C32" s="7"/>
      <c r="F32" s="7"/>
      <c r="G32" s="7"/>
      <c r="H32" s="7"/>
      <c r="I32" s="7"/>
      <c r="J32" s="7"/>
      <c r="K32" s="7"/>
      <c r="L32" s="7"/>
    </row>
    <row r="33" spans="3:12" x14ac:dyDescent="0.25">
      <c r="C33" s="7"/>
      <c r="E33" t="s">
        <v>601</v>
      </c>
      <c r="F33" s="7"/>
      <c r="G33" s="7"/>
      <c r="H33" s="7"/>
      <c r="I33" s="7"/>
      <c r="J33" s="7">
        <v>5838</v>
      </c>
      <c r="K33" s="7"/>
      <c r="L33" s="7"/>
    </row>
    <row r="34" spans="3:12" x14ac:dyDescent="0.25">
      <c r="C34" s="7"/>
      <c r="E34" t="s">
        <v>602</v>
      </c>
      <c r="F34" s="7"/>
      <c r="G34" s="7"/>
      <c r="H34" s="7"/>
      <c r="I34" s="7"/>
      <c r="J34" s="7"/>
      <c r="K34" s="7"/>
      <c r="L34" s="7"/>
    </row>
    <row r="35" spans="3:12" x14ac:dyDescent="0.25">
      <c r="C35" s="7"/>
      <c r="E35" t="s">
        <v>603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topLeftCell="A13" workbookViewId="0">
      <selection activeCell="H12" sqref="H12"/>
    </sheetView>
  </sheetViews>
  <sheetFormatPr defaultRowHeight="15" x14ac:dyDescent="0.25"/>
  <cols>
    <col min="2" max="2" width="69.140625" customWidth="1"/>
    <col min="6" max="6" width="72.85546875" customWidth="1"/>
  </cols>
  <sheetData>
    <row r="3" spans="2:6" ht="98.25" customHeight="1" x14ac:dyDescent="0.25">
      <c r="B3" s="43" t="s">
        <v>627</v>
      </c>
      <c r="F3" s="43" t="s">
        <v>643</v>
      </c>
    </row>
    <row r="4" spans="2:6" x14ac:dyDescent="0.25">
      <c r="B4" s="44"/>
      <c r="F4" s="49" t="s">
        <v>644</v>
      </c>
    </row>
    <row r="5" spans="2:6" ht="129.75" customHeight="1" x14ac:dyDescent="0.25">
      <c r="B5" s="43" t="s">
        <v>628</v>
      </c>
      <c r="F5" s="50" t="s">
        <v>645</v>
      </c>
    </row>
    <row r="6" spans="2:6" ht="15.75" x14ac:dyDescent="0.25">
      <c r="B6" s="44"/>
      <c r="F6" s="46" t="s">
        <v>646</v>
      </c>
    </row>
    <row r="7" spans="2:6" ht="44.25" customHeight="1" x14ac:dyDescent="0.25">
      <c r="B7" s="45" t="s">
        <v>629</v>
      </c>
      <c r="F7" s="46" t="s">
        <v>647</v>
      </c>
    </row>
    <row r="8" spans="2:6" ht="122.25" customHeight="1" x14ac:dyDescent="0.25">
      <c r="B8" s="43" t="s">
        <v>630</v>
      </c>
      <c r="F8" s="46" t="s">
        <v>648</v>
      </c>
    </row>
    <row r="9" spans="2:6" x14ac:dyDescent="0.25">
      <c r="B9" s="44" t="s">
        <v>631</v>
      </c>
      <c r="F9" s="51" t="s">
        <v>649</v>
      </c>
    </row>
    <row r="10" spans="2:6" ht="41.25" customHeight="1" x14ac:dyDescent="0.25">
      <c r="B10" s="46" t="s">
        <v>632</v>
      </c>
      <c r="F10" s="43" t="s">
        <v>650</v>
      </c>
    </row>
    <row r="11" spans="2:6" ht="50.25" customHeight="1" x14ac:dyDescent="0.25">
      <c r="B11" s="46" t="s">
        <v>633</v>
      </c>
    </row>
    <row r="12" spans="2:6" ht="31.5" x14ac:dyDescent="0.25">
      <c r="B12" s="46" t="s">
        <v>634</v>
      </c>
    </row>
    <row r="13" spans="2:6" ht="15.75" x14ac:dyDescent="0.25">
      <c r="B13" s="46" t="s">
        <v>635</v>
      </c>
    </row>
    <row r="14" spans="2:6" ht="72" customHeight="1" x14ac:dyDescent="0.25">
      <c r="B14" s="47" t="s">
        <v>636</v>
      </c>
    </row>
    <row r="15" spans="2:6" ht="133.5" customHeight="1" x14ac:dyDescent="0.25">
      <c r="B15" s="47" t="s">
        <v>637</v>
      </c>
    </row>
    <row r="16" spans="2:6" x14ac:dyDescent="0.25">
      <c r="B16" s="48" t="s">
        <v>638</v>
      </c>
    </row>
    <row r="17" spans="2:2" ht="44.25" customHeight="1" x14ac:dyDescent="0.25">
      <c r="B17" s="45" t="s">
        <v>639</v>
      </c>
    </row>
    <row r="18" spans="2:2" ht="161.25" customHeight="1" x14ac:dyDescent="0.25">
      <c r="B18" s="46" t="s">
        <v>640</v>
      </c>
    </row>
    <row r="19" spans="2:2" ht="105.75" customHeight="1" x14ac:dyDescent="0.25">
      <c r="B19" s="46" t="s">
        <v>641</v>
      </c>
    </row>
    <row r="20" spans="2:2" ht="144" customHeight="1" x14ac:dyDescent="0.25">
      <c r="B20" s="46" t="s">
        <v>642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workbookViewId="0">
      <selection activeCell="C18" sqref="C18"/>
    </sheetView>
  </sheetViews>
  <sheetFormatPr defaultRowHeight="15" x14ac:dyDescent="0.25"/>
  <cols>
    <col min="2" max="2" width="22.28515625" customWidth="1"/>
    <col min="3" max="3" width="22.5703125" customWidth="1"/>
    <col min="4" max="4" width="37.140625" customWidth="1"/>
    <col min="5" max="5" width="20.42578125" customWidth="1"/>
    <col min="6" max="6" width="21.28515625" customWidth="1"/>
  </cols>
  <sheetData>
    <row r="3" spans="2:6" x14ac:dyDescent="0.25">
      <c r="B3" t="s">
        <v>692</v>
      </c>
      <c r="C3" t="s">
        <v>700</v>
      </c>
      <c r="D3" t="s">
        <v>1</v>
      </c>
    </row>
    <row r="4" spans="2:6" x14ac:dyDescent="0.25">
      <c r="B4" t="s">
        <v>693</v>
      </c>
      <c r="C4">
        <v>25</v>
      </c>
      <c r="D4" t="s">
        <v>704</v>
      </c>
    </row>
    <row r="5" spans="2:6" x14ac:dyDescent="0.25">
      <c r="B5" t="s">
        <v>694</v>
      </c>
      <c r="C5">
        <v>3</v>
      </c>
      <c r="D5" t="s">
        <v>695</v>
      </c>
    </row>
    <row r="6" spans="2:6" x14ac:dyDescent="0.25">
      <c r="B6" t="s">
        <v>696</v>
      </c>
      <c r="C6" t="s">
        <v>697</v>
      </c>
      <c r="D6" t="s">
        <v>712</v>
      </c>
    </row>
    <row r="7" spans="2:6" x14ac:dyDescent="0.25">
      <c r="B7" t="s">
        <v>698</v>
      </c>
      <c r="C7" t="s">
        <v>699</v>
      </c>
      <c r="D7" t="s">
        <v>703</v>
      </c>
    </row>
    <row r="8" spans="2:6" x14ac:dyDescent="0.25">
      <c r="B8" t="s">
        <v>698</v>
      </c>
      <c r="C8" t="s">
        <v>701</v>
      </c>
      <c r="D8" t="s">
        <v>702</v>
      </c>
    </row>
    <row r="14" spans="2:6" x14ac:dyDescent="0.25">
      <c r="B14" t="s">
        <v>706</v>
      </c>
      <c r="C14" t="s">
        <v>707</v>
      </c>
      <c r="D14" t="s">
        <v>708</v>
      </c>
      <c r="E14" t="s">
        <v>709</v>
      </c>
      <c r="F14" t="s">
        <v>710</v>
      </c>
    </row>
    <row r="15" spans="2:6" x14ac:dyDescent="0.25">
      <c r="B15" t="s">
        <v>705</v>
      </c>
      <c r="C15">
        <v>109</v>
      </c>
      <c r="D15">
        <v>26000</v>
      </c>
      <c r="E15">
        <v>1.635</v>
      </c>
      <c r="F15">
        <v>42510</v>
      </c>
    </row>
    <row r="16" spans="2:6" x14ac:dyDescent="0.25">
      <c r="B16" t="s">
        <v>693</v>
      </c>
      <c r="C16">
        <v>25</v>
      </c>
      <c r="D16">
        <v>26000</v>
      </c>
      <c r="E16">
        <v>1.5</v>
      </c>
      <c r="F16">
        <v>39000</v>
      </c>
    </row>
    <row r="17" spans="2:6" x14ac:dyDescent="0.25">
      <c r="B17" t="s">
        <v>694</v>
      </c>
      <c r="C17">
        <v>3</v>
      </c>
      <c r="D17">
        <v>26000</v>
      </c>
      <c r="E17">
        <v>0.13500000000000001</v>
      </c>
      <c r="F17">
        <v>3510</v>
      </c>
    </row>
    <row r="18" spans="2:6" x14ac:dyDescent="0.25">
      <c r="B18" t="s">
        <v>711</v>
      </c>
      <c r="C18">
        <v>104</v>
      </c>
      <c r="D18">
        <v>26000</v>
      </c>
      <c r="E18">
        <v>0.78</v>
      </c>
      <c r="F18">
        <v>20280</v>
      </c>
    </row>
    <row r="19" spans="2:6" x14ac:dyDescent="0.25">
      <c r="B19" s="11" t="s">
        <v>18</v>
      </c>
      <c r="E19">
        <f>SUM(E15:E18)</f>
        <v>4.05</v>
      </c>
      <c r="F19">
        <f>SUM(F15:F18)</f>
        <v>105300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Расчёт колличества бетона </vt:lpstr>
      <vt:lpstr>Покупки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Жан Бещанов</cp:lastModifiedBy>
  <dcterms:created xsi:type="dcterms:W3CDTF">2024-02-26T07:15:52Z</dcterms:created>
  <dcterms:modified xsi:type="dcterms:W3CDTF">2026-04-26T18:09:15Z</dcterms:modified>
</cp:coreProperties>
</file>