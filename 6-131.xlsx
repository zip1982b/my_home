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  <sheet name="котельная и вентиляция" sheetId="14" r:id="rId11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51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<sst xmlns="http://schemas.openxmlformats.org/spreadsheetml/2006/main" count="1024" uniqueCount="668">
  <si>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</si>
  <si>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</si>
  <si>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</si>
  <si>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</si>
  <si>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</si>
  <si>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</si>
  <si>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</si>
  <si>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</si>
  <si>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</si>
  <si>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</si>
  <si>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</si>
  <si>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</si>
  <si>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</si>
  <si>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</si>
  <si>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</si>
  <si>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</si>
  <si>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</si>
  <si>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</si>
  <si>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</si>
  <si>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</si>
  <si>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</si>
  <si>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</si>
  <si>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</si>
  <si>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</si>
  <si>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</si>
  <si>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</si>
  <si>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</si>
  <si>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</si>
  <si>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</si>
  <si>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</si>
  <si>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</si>
  <si>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</si>
  <si>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</si>
  <si>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</si>
  <si>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</si>
  <si>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</si>
  <si>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</si>
  <si>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</si>
  <si>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</si>
  <si>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</si>
  <si>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</si>
  <si>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</si>
  <si>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</si>
  <si>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</si>
  <si>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</si>
  <si>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</si>
  <si>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</si>
  <si>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</si>
  <si>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</si>
  <si>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</si>
  <si>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</si>
  <si>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</si>
  <si>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</si>
  <si>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</si>
  <si>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</si>
  <si>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</si>
  <si>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</si>
  <si>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</si>
  <si>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</si>
  <si>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</si>
  <si>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</si>
  <si>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</si>
  <si>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</si>
  <si>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</si>
  <si>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</si>
  <si>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</si>
  <si>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</si>
  <si>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</si>
  <si>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</si>
  <si>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</si>
  <si>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</si>
  <si>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</si>
  <si>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</si>
  <si>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</si>
  <si>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</si>
  <si>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</si>
  <si>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</si>
  <si>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</si>
  <si>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</si>
  <si>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</si>
  <si>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</si>
  <si>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</si>
  <si>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</si>
  <si>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</si>
  <si>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</si>
  <si>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</si>
  <si>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</si>
  <si>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</si>
  <si>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</si>
  <si>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</si>
  <si>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</si>
  <si>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</si>
  <si>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</si>
  <si>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</si>
  <si>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</si>
  <si>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</si>
  <si>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</si>
  <si>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</si>
  <si>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</si>
  <si>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</si>
  <si>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</si>
  <si>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</si>
  <si>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</si>
  <si>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</si>
  <si>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</si>
  <si>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</si>
  <si>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</si>
  <si>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</si>
  <si>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</si>
  <si>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</si>
  <si>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</si>
  <si>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</si>
  <si>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</si>
  <si>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</si>
  <si>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</si>
  <si>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</si>
  <si>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</si>
  <si>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</si>
  <si>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</si>
  <si>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</si>
  <si>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</si>
  <si>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</si>
  <si>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</si>
  <si>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</si>
  <si>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</si>
  <si>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</si>
  <si>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</si>
  <si>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</si>
  <si>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</si>
  <si>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</si>
  <si>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</si>
  <si>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</si>
  <si>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</si>
  <si>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</si>
  <si>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</si>
  <si>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</si>
  <si>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</si>
  <si>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</si>
  <si>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</si>
  <si>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</si>
  <si>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</si>
  <si>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</si>
  <si>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</si>
  <si>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</si>
  <si>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</si>
  <si>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</si>
  <si>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</si>
  <si>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</si>
  <si>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</si>
  <si>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</si>
  <si>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</si>
  <si>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</si>
  <si>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</si>
  <si>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</si>
  <si>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</si>
  <si>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</si>
  <si>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</si>
  <si>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</si>
  <si>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</si>
  <si>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</si>
  <si>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</si>
  <si>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</si>
  <si>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</si>
  <si>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</si>
  <si>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</si>
  <si>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</si>
  <si>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</si>
  <si>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</si>
  <si>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</si>
  <si>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</si>
  <si>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</si>
  <si>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</si>
  <si>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</si>
  <si>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</si>
  <si>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</si>
  <si>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</si>
  <si>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</si>
  <si>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</si>
  <si>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</si>
  <si>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</si>
  <si>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</si>
  <si>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</si>
  <si>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</si>
  <si>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</si>
  <si>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</si>
  <si>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</si>
  <si>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</si>
  <si>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</si>
  <si>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</si>
  <si>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</si>
  <si>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</si>
  <si>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</si>
  <si>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</si>
  <si>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</si>
  <si>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</si>
  <si>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</si>
  <si>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</si>
  <si>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</si>
  <si>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</si>
  <si>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</si>
  <si>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</si>
  <si>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</si>
  <si>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</si>
  <si>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</si>
  <si>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</si>
  <si>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</si>
  <si>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</si>
  <si>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</si>
  <si>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</si>
  <si>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</si>
  <si>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</si>
  <si>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</si>
  <si>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</si>
  <si>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</si>
  <si>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</si>
  <si>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</si>
  <si>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</si>
  <si>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</si>
  <si>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</si>
  <si>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</si>
  <si>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</si>
  <si>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</si>
  <si>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</si>
  <si>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</si>
  <si>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</si>
  <si>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</si>
  <si>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</si>
  <si>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</si>
  <si>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</si>
  <si>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</si>
  <si>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</si>
  <si>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</si>
  <si>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</si>
  <si>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</si>
  <si>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</si>
  <si>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</si>
  <si>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</si>
  <si>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</si>
  <si>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</si>
  <si>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</si>
  <si>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</si>
  <si>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</si>
  <si>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</si>
  <si>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</si>
  <si>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</si>
  <si>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</si>
  <si>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</si>
  <si>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</si>
  <si>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</si>
  <si>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</si>
  <si>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</si>
  <si>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</si>
  <si>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</si>
  <si>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</si>
  <si>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</si>
  <si>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</si>
  <si>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</si>
  <si>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</si>
  <si>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</si>
  <si>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</si>
  <si>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</si>
  <si>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</si>
  <si>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</si>
  <si>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</si>
  <si>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</si>
  <si>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</si>
  <si>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</si>
  <si>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</si>
  <si>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</si>
  <si>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</si>
  <si>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</si>
  <si>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</si>
  <si>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</si>
  <si>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</si>
  <si>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</si>
  <si>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</si>
  <si>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</si>
  <si>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</si>
  <si>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</si>
  <si>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</si>
  <si>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</si>
  <si>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</si>
  <si>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</si>
  <si>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</si>
  <si>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</si>
  <si>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</si>
  <si>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</si>
  <si>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</si>
  <si>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</si>
  <si>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</si>
  <si>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</si>
  <si>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</si>
  <si>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</si>
  <si>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</si>
  <si>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</si>
  <si>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</si>
  <si>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</si>
  <si>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</si>
  <si>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</si>
  <si>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</si>
  <si>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</si>
  <si>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</si>
  <si>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</si>
  <si>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</si>
  <si>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</si>
  <si>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</si>
  <si>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</si>
  <si>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</si>
  <si>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</si>
  <si>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</si>
  <si>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</si>
  <si>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</si>
  <si>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</si>
  <si>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</si>
  <si>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</si>
  <si>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</si>
  <si>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</si>
  <si>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</si>
  <si>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</si>
  <si>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</si>
  <si>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</si>
  <si>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</si>
  <si>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</si>
  <si>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</si>
  <si>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</si>
  <si>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</si>
  <si>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</si>
  <si>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</si>
  <si>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</si>
  <si>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</si>
  <si>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</si>
  <si>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</si>
  <si>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</si>
  <si>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</si>
  <si>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</si>
  <si>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</si>
  <si>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</si>
  <si>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</si>
  <si>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</si>
  <si>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</si>
  <si>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</si>
  <si>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</si>
  <si>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</si>
  <si>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</si>
  <si>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</si>
  <si>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</si>
  <si>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</si>
  <si>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</si>
  <si>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</si>
  <si>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</si>
  <si>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</si>
  <si>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</si>
  <si>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</si>
  <si>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</si>
  <si>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</si>
  <si>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</si>
  <si>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</si>
  <si>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</si>
  <si>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</si>
  <si>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</si>
  <si>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</si>
  <si>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</si>
  <si>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</si>
  <si>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</si>
  <si>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</si>
  <si>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</si>
  <si>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</si>
  <si>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</si>
  <si>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</si>
  <si>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</si>
  <si>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</si>
  <si>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</si>
  <si>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</si>
  <si>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</si>
  <si>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</si>
  <si>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</si>
  <si>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</si>
  <si>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</si>
  <si>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</si>
  <si>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</si>
  <si>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</si>
  <si>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</si>
  <si>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</si>
  <si>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</si>
  <si>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</si>
  <si>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</si>
  <si>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</si>
  <si>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</si>
  <si>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</si>
  <si>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</si>
  <si>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</si>
  <si>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</si>
  <si>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</si>
  <si>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</si>
  <si>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</si>
  <si>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</si>
  <si>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</si>
  <si>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</si>
  <si>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</si>
  <si>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</si>
  <si>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</si>
  <si>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</si>
  <si>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</si>
  <si>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</si>
  <si>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</si>
  <si>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</si>
  <si>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</si>
  <si>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</si>
  <si>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</si>
  <si>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</si>
  <si>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</si>
  <si>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</si>
  <si>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</si>
  <si>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</si>
  <si>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</si>
  <si>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</si>
  <si>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</si>
  <si>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</si>
  <si>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</si>
  <si>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</si>
  <si>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</si>
  <si>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</si>
  <si>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</si>
  <si>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</si>
  <si>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</si>
  <si>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</si>
  <si>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</si>
  <si>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</si>
  <si>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</si>
  <si>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</si>
  <si>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</si>
  <si>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</si>
  <si>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</si>
  <si>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</si>
  <si>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</si>
  <si>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</si>
  <si>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</si>
  <si>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</si>
  <si>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</si>
  <si>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</si>
  <si>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</si>
  <si>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</si>
  <si>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</si>
  <si>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</si>
  <si>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</si>
  <si>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</si>
  <si>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</si>
  <si>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</si>
  <si>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</si>
  <si>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</si>
  <si>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</si>
  <si>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</si>
  <si>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</si>
  <si>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</si>
  <si>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</si>
  <si>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</si>
  <si>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</si>
  <si>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</si>
  <si>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</si>
  <si>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</si>
  <si>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</si>
  <si>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</si>
  <si>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</si>
  <si>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</si>
  <si>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</si>
  <si>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</si>
  <si>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</si>
  <si>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</si>
  <si>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</si>
  <si>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</si>
  <si>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</si>
  <si>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</si>
  <si>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</si>
  <si>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</si>
  <si>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</si>
  <si>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</si>
  <si>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</si>
  <si>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</si>
  <si>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</si>
  <si>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</si>
  <si>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</si>
  <si>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</si>
  <si>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</si>
  <si>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</si>
  <si>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</si>
  <si>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</si>
  <si>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</si>
  <si>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</si>
  <si>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</si>
  <si>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</si>
  <si>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</si>
  <si>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</si>
  <si>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</si>
  <si>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</si>
  <si>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</si>
  <si>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</si>
  <si>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</si>
  <si>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</si>
  <si>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</si>
  <si>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</si>
  <si>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</si>
  <si>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</si>
  <si>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</si>
  <si>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</si>
  <si>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</si>
  <si>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</si>
  <si>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</si>
  <si>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</si>
  <si>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</si>
  <si>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</si>
  <si>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</si>
  <si>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</si>
  <si>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</si>
  <si>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</si>
  <si>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</si>
  <si>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</si>
  <si>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</si>
  <si>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</si>
  <si>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</si>
  <si>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</si>
  <si>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</si>
  <si>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</si>
  <si>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</si>
  <si>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</si>
  <si>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</si>
  <si>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</si>
  <si>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</si>
  <si>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</si>
  <si>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</si>
  <si>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</si>
  <si>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</si>
  <si>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</si>
  <si>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</si>
  <si>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</si>
  <si>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</si>
  <si>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</si>
  <si>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</si>
  <si>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</si>
  <si>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</si>
  <si>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</si>
  <si>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</si>
  <si>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</si>
  <si>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</si>
  <si>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</si>
  <si>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</si>
  <si>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</si>
  <si>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</si>
  <si>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</si>
  <si>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</si>
  <si>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</si>
  <si>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</si>
  <si>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</si>
  <si>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</si>
  <si>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</si>
  <si>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</si>
  <si>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</si>
  <si>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</si>
  <si>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</si>
  <si>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</si>
  <si>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</si>
  <si>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</si>
  <si>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</si>
  <si>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</si>
  <si>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</si>
  <si>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</si>
  <si>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</si>
  <si>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</si>
  <si>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</si>
  <si>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</si>
  <si>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</si>
  <si>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</si>
  <si>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</si>
  <si>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</si>
  <si>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</si>
  <si>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</si>
  <si>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</si>
  <si>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</si>
  <si>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</si>
  <si>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</si>
  <si>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</si>
  <si>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</si>
  <si>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</si>
  <si>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</si>
  <si>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</si>
  <si>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</si>
  <si>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</si>
  <si>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</si>
  <si>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</si>
  <si>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</si>
  <si>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</si>
  <si>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</si>
  <si>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</si>
  <si>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</si>
  <si>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</si>
  <si>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</si>
  <si>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</si>
  <si>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</si>
  <si>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</si>
  <si>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</si>
  <si>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</si>
  <si>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</si>
  <si>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</si>
  <si>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</si>
  <si>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</si>
  <si>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</si>
  <si>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</si>
  <si>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</si>
  <si>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</si>
  <si>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</si>
  <si>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</si>
  <si>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</si>
  <si>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</si>
  <si>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</si>
  <si>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</si>
  <si>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</si>
  <si>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</si>
  <si>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</si>
  <si>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</si>
  <si>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</si>
  <si>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</si>
  <si>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</si>
  <si>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</si>
  <si>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</si>
  <si>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</si>
  <si>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</si>
  <si>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</si>
  <si>
    <t>Фен строительный DEKO 2000 Вт</t>
  </si>
  <si>
    <r>
      <t>Для котла </t>
    </r>
    <r>
      <rPr>
        <b/>
        <sz val="12"/>
        <color rgb="FF0A0A0A"/>
        <rFont val="Arial"/>
        <family val="2"/>
        <charset val="204"/>
      </rPr>
      <t>Fondital Victoria Compact CTFS 24 AF</t>
    </r>
    <r>
      <rPr>
        <sz val="12"/>
        <color rgb="FF0A0A0A"/>
        <rFont val="Arial"/>
        <family val="2"/>
        <charset val="204"/>
      </rPr>
      <t> при объеме котельной </t>
    </r>
    <r>
      <rPr>
        <b/>
        <sz val="12"/>
        <color rgb="FF0A0A0A"/>
        <rFont val="Arial"/>
        <family val="2"/>
        <charset val="204"/>
      </rPr>
      <t>18 м³</t>
    </r>
    <r>
      <rPr>
        <sz val="12"/>
        <color rgb="FF0A0A0A"/>
        <rFont val="Arial"/>
        <family val="2"/>
        <charset val="204"/>
      </rPr>
      <t> рекомендуемый внутренний диаметр вентканала составляет </t>
    </r>
    <r>
      <rPr>
        <b/>
        <sz val="12"/>
        <color rgb="FF0A0A0A"/>
        <rFont val="Arial"/>
        <family val="2"/>
        <charset val="204"/>
      </rPr>
      <t>150 мм</t>
    </r>
    <r>
      <rPr>
        <sz val="12"/>
        <color rgb="FF0A0A0A"/>
        <rFont val="Arial"/>
        <family val="2"/>
        <charset val="204"/>
      </rPr>
      <t> (или прямоугольное сечение эквивалентной площади 177 см²). </t>
    </r>
  </si>
  <si>
    <r>
      <t>Поскольку модель </t>
    </r>
    <r>
      <rPr>
        <b/>
        <sz val="12"/>
        <color rgb="FF0A0A0A"/>
        <rFont val="Arial"/>
        <family val="2"/>
        <charset val="204"/>
      </rPr>
      <t>CTFS</t>
    </r>
    <r>
      <rPr>
        <sz val="12"/>
        <color rgb="FF0A0A0A"/>
        <rFont val="Arial"/>
        <family val="2"/>
        <charset val="204"/>
      </rPr>
      <t> (аббревиатура </t>
    </r>
    <r>
      <rPr>
        <i/>
        <sz val="12"/>
        <color rgb="FF0A0A0A"/>
        <rFont val="Arial"/>
        <family val="2"/>
        <charset val="204"/>
      </rPr>
      <t>Camera Turbo Forzata Stagna</t>
    </r>
    <r>
      <rPr>
        <sz val="12"/>
        <color rgb="FF0A0A0A"/>
        <rFont val="Arial"/>
        <family val="2"/>
        <charset val="204"/>
      </rPr>
      <t>) оснащена </t>
    </r>
    <r>
      <rPr>
        <b/>
        <sz val="12"/>
        <color rgb="FF0A0A0A"/>
        <rFont val="Arial"/>
        <family val="2"/>
        <charset val="204"/>
      </rPr>
      <t>закрытой камерой сгорания</t>
    </r>
    <r>
      <rPr>
        <sz val="12"/>
        <color rgb="FF0A0A0A"/>
        <rFont val="Arial"/>
        <family val="2"/>
        <charset val="204"/>
      </rPr>
      <t> и принудительным дымоудалением, расчет вентиляции упрощается: вам не нужно закладывать дополнительный приток воздуха на горение газа в саму трубу вытяжки, так как котел берет его с улицы через коаксиальный дымоход. </t>
    </r>
  </si>
  <si>
    <t>Обоснование расчета</t>
  </si>
  <si>
    <r>
      <t>Согласно нормативам (СП 402.1325800.2018), для газовых котельных обязателен </t>
    </r>
    <r>
      <rPr>
        <b/>
        <sz val="12"/>
        <color rgb="FF0A0A0A"/>
        <rFont val="Arial"/>
        <family val="2"/>
        <charset val="204"/>
      </rPr>
      <t>трехкратный воздухообмен</t>
    </r>
    <r>
      <rPr>
        <sz val="12"/>
        <color rgb="FF0A0A0A"/>
        <rFont val="Arial"/>
        <family val="2"/>
        <charset val="204"/>
      </rPr>
      <t> в час. </t>
    </r>
  </si>
  <si>
    <t>АО «Газпром газораспределение Петрозаводск +1</t>
  </si>
  <si>
    <r>
      <t>Необходимый объем вытяжки:</t>
    </r>
    <r>
      <rPr>
        <sz val="12"/>
        <color rgb="FF0A0A0A"/>
        <rFont val="Arial"/>
        <family val="2"/>
        <charset val="204"/>
      </rPr>
      <t> 18 м³ × 3 = </t>
    </r>
    <r>
      <rPr>
        <b/>
        <sz val="12"/>
        <color rgb="FF0A0A0A"/>
        <rFont val="Arial"/>
        <family val="2"/>
        <charset val="204"/>
      </rPr>
      <t>54 м³/час</t>
    </r>
    <r>
      <rPr>
        <sz val="12"/>
        <color rgb="FF0A0A0A"/>
        <rFont val="Arial"/>
        <family val="2"/>
        <charset val="204"/>
      </rPr>
      <t>.</t>
    </r>
  </si>
  <si>
    <r>
      <t>Скорость воздуха:</t>
    </r>
    <r>
      <rPr>
        <sz val="12"/>
        <color rgb="FF0A0A0A"/>
        <rFont val="Arial"/>
        <family val="2"/>
        <charset val="204"/>
      </rPr>
      <t> При естественной вентиляции расчетная скорость составляет ~1 м/с.</t>
    </r>
  </si>
  <si>
    <r>
      <t>Требуемая площадь сечения:</t>
    </r>
    <r>
      <rPr>
        <sz val="12"/>
        <color rgb="FF0A0A0A"/>
        <rFont val="Arial"/>
        <family val="2"/>
        <charset val="204"/>
      </rPr>
      <t> Для пропуска 54 м³/ч при такой скорости необходимо сечение около </t>
    </r>
    <r>
      <rPr>
        <b/>
        <sz val="12"/>
        <color rgb="FF0A0A0A"/>
        <rFont val="Arial"/>
        <family val="2"/>
        <charset val="204"/>
      </rPr>
      <t>150 см²</t>
    </r>
    <r>
      <rPr>
        <sz val="12"/>
        <color rgb="FF0A0A0A"/>
        <rFont val="Arial"/>
        <family val="2"/>
        <charset val="204"/>
      </rPr>
      <t>.</t>
    </r>
  </si>
  <si>
    <t>Подбор диаметра:</t>
  </si>
  <si>
    <r>
      <t>Труба </t>
    </r>
    <r>
      <rPr>
        <b/>
        <sz val="12"/>
        <color rgb="FF0A0A0A"/>
        <rFont val="Arial"/>
        <family val="2"/>
        <charset val="204"/>
      </rPr>
      <t>Ø125 мм</t>
    </r>
    <r>
      <rPr>
        <sz val="12"/>
        <color rgb="FF0A0A0A"/>
        <rFont val="Arial"/>
        <family val="2"/>
        <charset val="204"/>
      </rPr>
      <t> имеет площадь ~122 см² (этого может быть недостаточно при низком атмосферном давлении или малой высоте трубы).</t>
    </r>
  </si>
  <si>
    <r>
      <t>Труба </t>
    </r>
    <r>
      <rPr>
        <b/>
        <sz val="12"/>
        <color rgb="FF0A0A0A"/>
        <rFont val="Arial"/>
        <family val="2"/>
        <charset val="204"/>
      </rPr>
      <t>Ø150 мм</t>
    </r>
    <r>
      <rPr>
        <sz val="12"/>
        <color rgb="FF0A0A0A"/>
        <rFont val="Arial"/>
        <family val="2"/>
        <charset val="204"/>
      </rPr>
      <t> имеет площадь ~176 см², что полностью перекрывает норматив и является стандартом для таких помещений. </t>
    </r>
  </si>
  <si>
    <t>xn--11-6kca3c6bt.xn--p1ai +1</t>
  </si>
  <si>
    <t>Требования к исполнению</t>
  </si>
  <si>
    <r>
      <t>1. Материал:</t>
    </r>
    <r>
      <rPr>
        <sz val="12"/>
        <color rgb="FF0A0A0A"/>
        <rFont val="Arial"/>
        <family val="2"/>
        <charset val="204"/>
      </rPr>
      <t> Канал должен быть выполнен из негорючих материалов (оцинкованная сталь, нержавейка). Использование пластика (ПВХ) запрещено.</t>
    </r>
  </si>
  <si>
    <r>
      <t>2. Расположение:</t>
    </r>
    <r>
      <rPr>
        <sz val="12"/>
        <color rgb="FF0A0A0A"/>
        <rFont val="Arial"/>
        <family val="2"/>
        <charset val="204"/>
      </rPr>
      <t> Вытяжное отверстие должно находиться в верхней зоне помещения (не ниже 30 см от потолка).</t>
    </r>
  </si>
  <si>
    <r>
      <t>3. Приток:</t>
    </r>
    <r>
      <rPr>
        <sz val="12"/>
        <color rgb="FF0A0A0A"/>
        <rFont val="Arial"/>
        <family val="2"/>
        <charset val="204"/>
      </rPr>
      <t> Для работы вытяжки необходим приток воздуха (например, подрез в нижней части двери площадью не менее 0,02 м² или приточный клапан). </t>
    </r>
  </si>
  <si>
    <r>
      <t>Для раздельной системы дымоудаления (раздельного дымохода) газового котла Fondital Victoria Compact CTFS 24 AF требуются две трубы диаметром </t>
    </r>
    <r>
      <rPr>
        <b/>
        <sz val="12"/>
        <color rgb="FF0A0A0A"/>
        <rFont val="Arial"/>
        <family val="2"/>
        <charset val="204"/>
      </rPr>
      <t>80 мм</t>
    </r>
    <r>
      <rPr>
        <sz val="12"/>
        <color rgb="FF0A0A0A"/>
        <rFont val="Arial"/>
        <family val="2"/>
        <charset val="204"/>
      </rPr>
      <t> каждая — одна для дымоудаления, другая для забора воздуха. Это стандартное решение для турбированных моделей, обеспечивающее эффективный отвод продуктов сгорания. </t>
    </r>
  </si>
  <si>
    <t>www.allb.ru +1</t>
  </si>
  <si>
    <t>Ключевые особенности:</t>
  </si>
  <si>
    <r>
      <t>Диаметр труб:</t>
    </r>
    <r>
      <rPr>
        <sz val="12"/>
        <color rgb="FF0A0A0A"/>
        <rFont val="Arial"/>
        <family val="2"/>
        <charset val="204"/>
      </rPr>
      <t> 80/80 мм.</t>
    </r>
  </si>
  <si>
    <r>
      <t>Тип системы:</t>
    </r>
    <r>
      <rPr>
        <sz val="12"/>
        <color rgb="FF0A0A0A"/>
        <rFont val="Arial"/>
        <family val="2"/>
        <charset val="204"/>
      </rPr>
      <t> Раздельная (воздуховод и дымоход идут отдельно).</t>
    </r>
  </si>
  <si>
    <r>
      <t>Тип котла:</t>
    </r>
    <r>
      <rPr>
        <sz val="12"/>
        <color rgb="FF0A0A0A"/>
        <rFont val="Arial"/>
        <family val="2"/>
        <charset val="204"/>
      </rPr>
      <t> Закрытая камера сгорания (CTFS), турбированный. </t>
    </r>
  </si>
  <si>
    <t>ТеплоВсем +2</t>
  </si>
  <si>
    <t>Использование труб диаметром 80 мм позволяет оптимизировать работу системы дымоудаления и обеспечить безопасную эксплуатацию котла.</t>
  </si>
  <si>
    <t>Доставка блоков 150 аэроблок - 5 паллет</t>
  </si>
  <si>
    <t>Кримпер для обжима наконечников</t>
  </si>
  <si>
    <t>Выключатель нагрузки IEK</t>
  </si>
  <si>
    <t>автоматический выключатель IEK c25 3 полюсный</t>
  </si>
  <si>
    <t>автоматический выключатель 4 полюса 25а</t>
  </si>
  <si>
    <t> Кабель твёрдый круглый негорючий низкотоксичный ВВГ-нг LSLTx 3x2,5 ГОС - 1 метр</t>
  </si>
  <si>
    <t>Уголок монтажный усиленный 90х90х65х1,8мм - 10 шт (1 шт - 45р)</t>
  </si>
  <si>
    <t>Перчатки полиэстер с полиуретановым обливом, 10/XL, черн, Sado Plus - 2 пары</t>
  </si>
  <si>
    <t>Гвозди оцинк. 4,0х120мм 1кг</t>
  </si>
  <si>
    <t> Гвозди оцинк. 5,0х150мм 1кг</t>
  </si>
  <si>
    <t>Шпилька рез. М8х1000мм. - 2 шт</t>
  </si>
  <si>
    <t>Шайба DIN9021 кузовная оцинк. М12 10шт</t>
  </si>
  <si>
    <t>Сверло по дереву балочное 8х460, 6-гранный хвостовик</t>
  </si>
  <si>
    <t>ООО СИТ - покупка метал труб прямоуг сечения</t>
  </si>
  <si>
    <t>40х20х1.5х6000 мм труб прямоуг + резка</t>
  </si>
  <si>
    <t>уголки+шурупы</t>
  </si>
  <si>
    <t>уголки + шурупы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</si>
</sst>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30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A0A0A"/>
      <name val="Arial"/>
      <family val="2"/>
      <charset val="204"/>
    </font>
    <font>
      <b/>
      <sz val="12"/>
      <color rgb="FF0A0A0A"/>
      <name val="Arial"/>
      <family val="2"/>
      <charset val="204"/>
    </font>
    <font>
      <sz val="8"/>
      <color rgb="FF56595E"/>
      <name val="Arial"/>
      <family val="2"/>
      <charset val="204"/>
    </font>
    <font>
      <i/>
      <sz val="12"/>
      <color rgb="FF0A0A0A"/>
      <name val="Arial"/>
      <family val="2"/>
      <charset val="204"/>
    </font>
    <font>
      <sz val="15"/>
      <color rgb="FF0A0A0A"/>
      <name val="Arial"/>
      <family val="2"/>
      <charset val="204"/>
    </font>
    <font>
      <sz val="8"/>
      <color rgb="FF545D7E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52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  <xf numFmtId="0" fontId="24" fillId="0" borderId="0" xfId="0" applyFont="1" applyAlignment="1">
      <alignment vertical="center" wrapText="1"/>
    </xf>
    <xf numFmtId="0" fontId="26" fillId="0" borderId="0" xfId="0" applyFont="1" applyAlignment="1">
      <alignment vertical="center"/>
    </xf>
    <xf numFmtId="0" fontId="28" fillId="0" borderId="0" xfId="0" applyFont="1" applyAlignment="1">
      <alignment vertical="center" wrapText="1"/>
    </xf>
    <xf numFmtId="0" fontId="25" fillId="0" borderId="0" xfId="0" applyFont="1" applyAlignment="1">
      <alignment horizontal="left" vertical="center" wrapText="1" indent="1"/>
    </xf>
    <xf numFmtId="0" fontId="24" fillId="0" borderId="0" xfId="0" applyFont="1" applyAlignment="1">
      <alignment horizontal="left" vertical="center" wrapText="1" indent="2"/>
    </xf>
    <xf numFmtId="0" fontId="26" fillId="0" borderId="0" xfId="0" applyFont="1" applyAlignment="1">
      <alignment horizontal="left" vertical="center" indent="2"/>
    </xf>
    <xf numFmtId="0" fontId="29" fillId="0" borderId="0" xfId="0" applyFont="1" applyAlignment="1">
      <alignment vertical="center"/>
    </xf>
    <xf numFmtId="0" fontId="25" fillId="0" borderId="0" xfId="0" applyFont="1" applyAlignment="1">
      <alignment vertical="center" wrapText="1"/>
    </xf>
    <xf numFmtId="0" fontId="29" fillId="0" borderId="0" xfId="0" applyFont="1" applyAlignment="1">
      <alignment horizontal="left" vertical="center" indent="1"/>
    </xf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</xdr:row>
      <xdr:rowOff>0</xdr:rowOff>
    </xdr:from>
    <xdr:to>
      <xdr:col>1</xdr:col>
      <xdr:colOff>304800</xdr:colOff>
      <xdr:row>4</xdr:row>
      <xdr:rowOff>114300</xdr:rowOff>
    </xdr:to>
    <xdr:sp macro="" textlink="">
      <xdr:nvSpPr>
        <xdr:cNvPr id="2049" name="img-lLixaYSIE4q3wPAPwPSOkA4_1" descr="x2dom.ru"/>
        <xdr:cNvSpPr>
          <a:spLocks noChangeAspect="1" noChangeArrowheads="1"/>
        </xdr:cNvSpPr>
      </xdr:nvSpPr>
      <xdr:spPr bwMode="auto">
        <a:xfrm>
          <a:off x="609600" y="558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5</xdr:row>
      <xdr:rowOff>0</xdr:rowOff>
    </xdr:from>
    <xdr:to>
      <xdr:col>1</xdr:col>
      <xdr:colOff>304800</xdr:colOff>
      <xdr:row>5</xdr:row>
      <xdr:rowOff>304800</xdr:rowOff>
    </xdr:to>
    <xdr:sp macro="" textlink="">
      <xdr:nvSpPr>
        <xdr:cNvPr id="2050" name="img-lLixaYSIE4q3wPAPwPSOkA4_2" descr="ГК Новые технологии"/>
        <xdr:cNvSpPr>
          <a:spLocks noChangeAspect="1" noChangeArrowheads="1"/>
        </xdr:cNvSpPr>
      </xdr:nvSpPr>
      <xdr:spPr bwMode="auto">
        <a:xfrm>
          <a:off x="609600" y="10972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304800</xdr:colOff>
      <xdr:row>9</xdr:row>
      <xdr:rowOff>114300</xdr:rowOff>
    </xdr:to>
    <xdr:sp macro="" textlink="">
      <xdr:nvSpPr>
        <xdr:cNvPr id="2051" name="img-lLixaYSIE4q3wPAPwPSOkA4_3" descr="АО «Газпром газораспределение Петрозаводск"/>
        <xdr:cNvSpPr>
          <a:spLocks noChangeAspect="1" noChangeArrowheads="1"/>
        </xdr:cNvSpPr>
      </xdr:nvSpPr>
      <xdr:spPr bwMode="auto">
        <a:xfrm>
          <a:off x="609600" y="164115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304800</xdr:colOff>
      <xdr:row>16</xdr:row>
      <xdr:rowOff>114300</xdr:rowOff>
    </xdr:to>
    <xdr:sp macro="" textlink="">
      <xdr:nvSpPr>
        <xdr:cNvPr id="2052" name="img-lLixaYSIE4q3wPAPwPSOkA4_4" descr="xn--11-6kca3c6bt.xn--p1ai"/>
        <xdr:cNvSpPr>
          <a:spLocks noChangeAspect="1" noChangeArrowheads="1"/>
        </xdr:cNvSpPr>
      </xdr:nvSpPr>
      <xdr:spPr bwMode="auto">
        <a:xfrm>
          <a:off x="609600" y="37928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3</xdr:row>
      <xdr:rowOff>0</xdr:rowOff>
    </xdr:from>
    <xdr:to>
      <xdr:col>5</xdr:col>
      <xdr:colOff>304800</xdr:colOff>
      <xdr:row>4</xdr:row>
      <xdr:rowOff>114300</xdr:rowOff>
    </xdr:to>
    <xdr:sp macro="" textlink="">
      <xdr:nvSpPr>
        <xdr:cNvPr id="2053" name="img-5baxadmXD42RwPAP1fTFqAo_1" descr="www.allb.ru"/>
        <xdr:cNvSpPr>
          <a:spLocks noChangeAspect="1" noChangeArrowheads="1"/>
        </xdr:cNvSpPr>
      </xdr:nvSpPr>
      <xdr:spPr bwMode="auto">
        <a:xfrm>
          <a:off x="7048500" y="12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8</xdr:row>
      <xdr:rowOff>0</xdr:rowOff>
    </xdr:from>
    <xdr:to>
      <xdr:col>5</xdr:col>
      <xdr:colOff>304800</xdr:colOff>
      <xdr:row>9</xdr:row>
      <xdr:rowOff>114300</xdr:rowOff>
    </xdr:to>
    <xdr:sp macro="" textlink="">
      <xdr:nvSpPr>
        <xdr:cNvPr id="2054" name="img-5baxadmXD42RwPAP1fTFqAo_2" descr="ТеплоВсем"/>
        <xdr:cNvSpPr>
          <a:spLocks noChangeAspect="1" noChangeArrowheads="1"/>
        </xdr:cNvSpPr>
      </xdr:nvSpPr>
      <xdr:spPr bwMode="auto">
        <a:xfrm>
          <a:off x="7048500" y="617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id="4" name="Таблица4" displayName="Таблица4" ref="B5:F351" totalsRowCount="1">
  <autoFilter ref="B5:F350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51"/>
  <sheetViews>
    <sheetView tabSelected="1" topLeftCell="A319" workbookViewId="0">
      <selection activeCell="F347" sqref="F347"/>
    </sheetView>
  </sheetViews>
  <sheetFormatPr defaultRowHeight="15" x14ac:dyDescent="0.25"/>
  <cols>
    <col min="3" max="3" width="79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C330" t="s">
        <v>626</v>
      </c>
      <c r="D330" s="7">
        <v>988</v>
      </c>
      <c r="E330" t="s">
        <v>625</v>
      </c>
      <c r="F330" s="9">
        <v>46084</v>
      </c>
    </row>
    <row r="331" spans="2:6" x14ac:dyDescent="0.25">
      <c r="C331" t="s">
        <v>651</v>
      </c>
      <c r="D331" s="7">
        <v>8000</v>
      </c>
      <c r="E331" t="s">
        <v>272</v>
      </c>
      <c r="F331" s="9">
        <v>46098</v>
      </c>
    </row>
    <row r="332" spans="2:6" x14ac:dyDescent="0.25">
      <c r="C332" t="s">
        <v>652</v>
      </c>
      <c r="D332" s="7">
        <v>1215</v>
      </c>
      <c r="E332" t="s">
        <v>625</v>
      </c>
      <c r="F332" s="9">
        <v>46085</v>
      </c>
    </row>
    <row r="333" spans="2:6" x14ac:dyDescent="0.25">
      <c r="C333" t="s">
        <v>653</v>
      </c>
      <c r="D333" s="7">
        <v>3275</v>
      </c>
      <c r="E333" t="s">
        <v>625</v>
      </c>
      <c r="F333" s="9">
        <v>46085</v>
      </c>
    </row>
    <row r="334" spans="2:6" x14ac:dyDescent="0.25">
      <c r="C334" t="s">
        <v>654</v>
      </c>
      <c r="D334" s="7">
        <v>677</v>
      </c>
      <c r="E334" t="s">
        <v>625</v>
      </c>
      <c r="F334" s="9">
        <v>46080</v>
      </c>
    </row>
    <row r="335" spans="2:6" x14ac:dyDescent="0.25">
      <c r="C335" t="s">
        <v>655</v>
      </c>
      <c r="D335" s="7">
        <v>1123</v>
      </c>
      <c r="E335" t="s">
        <v>625</v>
      </c>
      <c r="F335" s="9">
        <v>46079</v>
      </c>
    </row>
    <row r="336" spans="2:6" x14ac:dyDescent="0.25">
      <c r="C336" s="18" t="s">
        <v>656</v>
      </c>
      <c r="D336" s="7">
        <v>127.78</v>
      </c>
      <c r="E336" t="s">
        <v>173</v>
      </c>
      <c r="F336" s="9">
        <v>46099</v>
      </c>
    </row>
    <row r="337" spans="3:6" x14ac:dyDescent="0.25">
      <c r="C337" s="18" t="s">
        <v>657</v>
      </c>
      <c r="D337" s="7">
        <v>450</v>
      </c>
      <c r="E337" t="s">
        <v>173</v>
      </c>
      <c r="F337" s="9">
        <v>46099</v>
      </c>
    </row>
    <row r="338" spans="3:6" x14ac:dyDescent="0.25">
      <c r="C338" s="18" t="s">
        <v>658</v>
      </c>
      <c r="D338" s="7">
        <v>182</v>
      </c>
      <c r="E338" t="s">
        <v>173</v>
      </c>
      <c r="F338" s="9">
        <v>46099</v>
      </c>
    </row>
    <row r="339" spans="3:6" x14ac:dyDescent="0.25">
      <c r="C339" s="18" t="s">
        <v>659</v>
      </c>
      <c r="D339" s="7">
        <v>228.89</v>
      </c>
      <c r="E339" t="s">
        <v>173</v>
      </c>
      <c r="F339" s="9">
        <v>46099</v>
      </c>
    </row>
    <row r="340" spans="3:6" x14ac:dyDescent="0.25">
      <c r="C340" s="18" t="s">
        <v>660</v>
      </c>
      <c r="D340" s="7">
        <v>228.89</v>
      </c>
      <c r="E340" t="s">
        <v>173</v>
      </c>
      <c r="F340" s="9">
        <v>46099</v>
      </c>
    </row>
    <row r="341" spans="3:6" x14ac:dyDescent="0.25">
      <c r="C341" s="18" t="s">
        <v>661</v>
      </c>
      <c r="D341" s="7">
        <v>102</v>
      </c>
      <c r="E341" t="s">
        <v>173</v>
      </c>
      <c r="F341" s="9">
        <v>46101</v>
      </c>
    </row>
    <row r="342" spans="3:6" x14ac:dyDescent="0.25">
      <c r="C342" s="18" t="s">
        <v>662</v>
      </c>
      <c r="D342" s="7">
        <v>116.15</v>
      </c>
      <c r="E342" t="s">
        <v>173</v>
      </c>
      <c r="F342" s="9">
        <v>46101</v>
      </c>
    </row>
    <row r="343" spans="3:6" x14ac:dyDescent="0.25">
      <c r="C343" s="18" t="s">
        <v>663</v>
      </c>
      <c r="D343" s="7">
        <v>224.2</v>
      </c>
      <c r="E343" t="s">
        <v>173</v>
      </c>
      <c r="F343" s="9">
        <v>46101</v>
      </c>
    </row>
    <row r="344" spans="3:6" x14ac:dyDescent="0.25">
      <c r="C344" t="s">
        <v>665</v>
      </c>
      <c r="D344" s="7">
        <v>845</v>
      </c>
      <c r="E344" t="s">
        <v>664</v>
      </c>
      <c r="F344" s="9">
        <v>46105</v>
      </c>
    </row>
    <row r="345" spans="3:6" x14ac:dyDescent="0.25">
      <c r="C345" t="s">
        <v>666</v>
      </c>
      <c r="D345" s="7">
        <v>898</v>
      </c>
      <c r="E345" t="s">
        <v>159</v>
      </c>
      <c r="F345" s="9">
        <v>46105</v>
      </c>
    </row>
    <row r="346" spans="3:6" x14ac:dyDescent="0.25">
      <c r="C346" t="s">
        <v>667</v>
      </c>
      <c r="D346" s="7">
        <v>444</v>
      </c>
      <c r="E346" t="s">
        <v>173</v>
      </c>
      <c r="F346" s="9">
        <v>46106</v>
      </c>
    </row>
    <row r="347" spans="3:6" x14ac:dyDescent="0.25">
      <c r="D347" s="7"/>
      <c r="F347" s="9"/>
    </row>
    <row r="348" spans="3:6" x14ac:dyDescent="0.25">
      <c r="D348" s="7"/>
      <c r="F348" s="9"/>
    </row>
    <row r="349" spans="3:6" x14ac:dyDescent="0.25">
      <c r="D349" s="7"/>
      <c r="F349" s="9"/>
    </row>
    <row r="350" spans="3:6" x14ac:dyDescent="0.25">
      <c r="D350" s="7"/>
      <c r="F350" s="9"/>
    </row>
    <row r="351" spans="3:6" x14ac:dyDescent="0.25">
      <c r="D351" s="7">
        <f>SUBTOTAL(109,Таблица4[Цена (руб)])</f>
        <v>4016659.8000000012</v>
      </c>
      <c r="F351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0"/>
  <sheetViews>
    <sheetView topLeftCell="A13" workbookViewId="0">
      <selection activeCell="H12" sqref="H12"/>
    </sheetView>
  </sheetViews>
  <sheetFormatPr defaultRowHeight="15" x14ac:dyDescent="0.25"/>
  <cols>
    <col min="2" max="2" width="69.140625" customWidth="1"/>
    <col min="6" max="6" width="72.85546875" customWidth="1"/>
  </cols>
  <sheetData>
    <row r="3" spans="2:6" ht="98.25" customHeight="1" x14ac:dyDescent="0.25">
      <c r="B3" s="43" t="s">
        <v>627</v>
      </c>
      <c r="F3" s="43" t="s">
        <v>643</v>
      </c>
    </row>
    <row r="4" spans="2:6" x14ac:dyDescent="0.25">
      <c r="B4" s="44"/>
      <c r="F4" s="49" t="s">
        <v>644</v>
      </c>
    </row>
    <row r="5" spans="2:6" ht="129.75" customHeight="1" x14ac:dyDescent="0.25">
      <c r="B5" s="43" t="s">
        <v>628</v>
      </c>
      <c r="F5" s="50" t="s">
        <v>645</v>
      </c>
    </row>
    <row r="6" spans="2:6" ht="15.75" x14ac:dyDescent="0.25">
      <c r="B6" s="44"/>
      <c r="F6" s="46" t="s">
        <v>646</v>
      </c>
    </row>
    <row r="7" spans="2:6" ht="44.25" customHeight="1" x14ac:dyDescent="0.25">
      <c r="B7" s="45" t="s">
        <v>629</v>
      </c>
      <c r="F7" s="46" t="s">
        <v>647</v>
      </c>
    </row>
    <row r="8" spans="2:6" ht="122.25" customHeight="1" x14ac:dyDescent="0.25">
      <c r="B8" s="43" t="s">
        <v>630</v>
      </c>
      <c r="F8" s="46" t="s">
        <v>648</v>
      </c>
    </row>
    <row r="9" spans="2:6" x14ac:dyDescent="0.25">
      <c r="B9" s="44" t="s">
        <v>631</v>
      </c>
      <c r="F9" s="51" t="s">
        <v>649</v>
      </c>
    </row>
    <row r="10" spans="2:6" ht="41.25" customHeight="1" x14ac:dyDescent="0.25">
      <c r="B10" s="46" t="s">
        <v>632</v>
      </c>
      <c r="F10" s="43" t="s">
        <v>650</v>
      </c>
    </row>
    <row r="11" spans="2:6" ht="50.25" customHeight="1" x14ac:dyDescent="0.25">
      <c r="B11" s="46" t="s">
        <v>633</v>
      </c>
    </row>
    <row r="12" spans="2:6" ht="31.5" x14ac:dyDescent="0.25">
      <c r="B12" s="46" t="s">
        <v>634</v>
      </c>
    </row>
    <row r="13" spans="2:6" ht="15.75" x14ac:dyDescent="0.25">
      <c r="B13" s="46" t="s">
        <v>635</v>
      </c>
    </row>
    <row r="14" spans="2:6" ht="72" customHeight="1" x14ac:dyDescent="0.25">
      <c r="B14" s="47" t="s">
        <v>636</v>
      </c>
    </row>
    <row r="15" spans="2:6" ht="133.5" customHeight="1" x14ac:dyDescent="0.25">
      <c r="B15" s="47" t="s">
        <v>637</v>
      </c>
    </row>
    <row r="16" spans="2:6" x14ac:dyDescent="0.25">
      <c r="B16" s="48" t="s">
        <v>638</v>
      </c>
    </row>
    <row r="17" spans="2:2" ht="44.25" customHeight="1" x14ac:dyDescent="0.25">
      <c r="B17" s="45" t="s">
        <v>639</v>
      </c>
    </row>
    <row r="18" spans="2:2" ht="161.25" customHeight="1" x14ac:dyDescent="0.25">
      <c r="B18" s="46" t="s">
        <v>640</v>
      </c>
    </row>
    <row r="19" spans="2:2" ht="105.75" customHeight="1" x14ac:dyDescent="0.25">
      <c r="B19" s="46" t="s">
        <v>641</v>
      </c>
    </row>
    <row r="20" spans="2:2" ht="144" customHeight="1" x14ac:dyDescent="0.25">
      <c r="B20" s="46" t="s">
        <v>642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  <vt:lpstr>котельная и вентиляция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2026-03-26T06:45:27Z</dcterms:modified>
</cp:coreProperties>
</file>