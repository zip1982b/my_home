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ip\develop\my_home\"/>
    </mc:Choice>
  </mc:AlternateContent>
  <bookViews>
    <workbookView xWindow="0" yWindow="0" windowWidth="25320" windowHeight="8145" firstSheet="6" activeTab="8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  <sheet name="котельная и вентиляция" sheetId="14" r:id="rId11"/>
    <sheet name="дерево заказ на 18 апр 2026" sheetId="15" r:id="rId12"/>
  </sheets>
  <calcPr calcId="162913"/>
</workbook>
</file>

<file path=xl/calcChain.xml><?xml version="1.0" encoding="utf-8"?>
<calcChain xmlns="http://schemas.openxmlformats.org/spreadsheetml/2006/main"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456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<sst xmlns="http://schemas.openxmlformats.org/spreadsheetml/2006/main" count="1259" uniqueCount="799">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</sst>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\ &quot;₽&quot;"/>
    <numFmt numFmtId="165" formatCode="#,##0.00\ &quot;р.&quot;"/>
  </numFmts>
  <fonts count="32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6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9" fontId="0" fillId="0" borderId="0" xfId="0" applyNumberFormat="1"/>
  </cellXfs>
  <cellStyles count="2">
    <cellStyle name="Гиперссылка" xfId="1" builtinId="8"/>
    <cellStyle name="Обычный" xfId="0" builtinId="0"/>
  </cellStyles>
  <dxfs count="35"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9" formatCode="dd/mm/yyyy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456" totalsRowCount="1">
  <autoFilter ref="B5:F455"/>
  <tableColumns count="5">
    <tableColumn id="1" name="№ п/п"/>
    <tableColumn id="2" name="Наименование "/>
    <tableColumn id="3" name="Цена (руб)" totalsRowFunction="sum" dataDxfId="34" totalsRowDxfId="7"/>
    <tableColumn id="4" name="Примечание"/>
    <tableColumn id="5" name="дата" dataDxfId="33" totalsRowDxfId="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5"/>
    <tableColumn id="2" name="Тип" totalsRowDxfId="4"/>
    <tableColumn id="3" name="Количество (М3/шт)" totalsRowDxfId="3"/>
    <tableColumn id="4" name="Цена  (м3 или штук)" dataDxfId="32" totalsRowDxfId="2"/>
    <tableColumn id="5" name="Сумма" totalsRowFunction="custom" dataDxfId="31" totalsRowDxfId="1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0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456"/>
  <sheetViews>
    <sheetView topLeftCell="A433" workbookViewId="0">
      <selection activeCell="C462" sqref="C462"/>
    </sheetView>
  </sheetViews>
  <sheetFormatPr defaultRowHeight="15" x14ac:dyDescent="0.25"/>
  <cols>
    <col min="3" max="3" width="85.28515625" customWidth="1"/>
    <col min="4" max="4" width="22.5703125" customWidth="1"/>
    <col min="5" max="5" width="9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 x14ac:dyDescent="0.25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 x14ac:dyDescent="0.25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 x14ac:dyDescent="0.25">
      <c r="C234" t="s">
        <v>421</v>
      </c>
      <c r="D234" s="7">
        <v>1148</v>
      </c>
      <c r="E234" t="s">
        <v>173</v>
      </c>
      <c r="F234" s="9"/>
    </row>
    <row r="235" spans="2:6" x14ac:dyDescent="0.25">
      <c r="C235" s="42" t="s">
        <v>422</v>
      </c>
      <c r="D235" s="7">
        <v>153.61000000000001</v>
      </c>
      <c r="E235" t="s">
        <v>173</v>
      </c>
      <c r="F235" s="9"/>
    </row>
    <row r="236" spans="2:6" x14ac:dyDescent="0.25">
      <c r="C236" t="s">
        <v>423</v>
      </c>
      <c r="D236" s="7">
        <v>373.45</v>
      </c>
      <c r="E236" t="s">
        <v>173</v>
      </c>
      <c r="F236" s="9"/>
    </row>
    <row r="237" spans="2:6" x14ac:dyDescent="0.25">
      <c r="C237" s="42" t="s">
        <v>424</v>
      </c>
      <c r="D237" s="7">
        <v>1143</v>
      </c>
      <c r="E237" t="s">
        <v>173</v>
      </c>
      <c r="F237" s="9"/>
    </row>
    <row r="238" spans="2:6" x14ac:dyDescent="0.25">
      <c r="C238" s="42" t="s">
        <v>425</v>
      </c>
      <c r="D238" s="7">
        <v>1843</v>
      </c>
      <c r="E238" t="s">
        <v>173</v>
      </c>
      <c r="F238" s="9"/>
    </row>
    <row r="239" spans="2:6" x14ac:dyDescent="0.25">
      <c r="C239" t="s">
        <v>426</v>
      </c>
      <c r="D239" s="7">
        <v>1140</v>
      </c>
      <c r="E239" t="s">
        <v>173</v>
      </c>
      <c r="F239" s="9"/>
    </row>
    <row r="240" spans="2:6" x14ac:dyDescent="0.25"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428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429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430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431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432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433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434</v>
      </c>
      <c r="D247" s="7">
        <v>881.91</v>
      </c>
      <c r="E247" t="s">
        <v>435</v>
      </c>
      <c r="F247" s="9">
        <v>45879</v>
      </c>
    </row>
    <row r="248" spans="3:6" x14ac:dyDescent="0.25">
      <c r="C248" t="s">
        <v>436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437</v>
      </c>
      <c r="D249" s="7">
        <v>785.56</v>
      </c>
      <c r="E249" t="s">
        <v>439</v>
      </c>
      <c r="F249" s="9">
        <v>45879</v>
      </c>
    </row>
    <row r="250" spans="3:6" x14ac:dyDescent="0.25">
      <c r="C250" t="s">
        <v>438</v>
      </c>
      <c r="D250" s="7">
        <v>1451.16</v>
      </c>
      <c r="E250" t="s">
        <v>443</v>
      </c>
      <c r="F250" s="9">
        <v>45879</v>
      </c>
    </row>
    <row r="251" spans="3:6" x14ac:dyDescent="0.25"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3:6" x14ac:dyDescent="0.25">
      <c r="C252" s="18" t="s">
        <v>441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442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465</v>
      </c>
      <c r="D254" s="7">
        <v>58000</v>
      </c>
      <c r="E254" t="s">
        <v>464</v>
      </c>
      <c r="F254" s="9">
        <v>45913</v>
      </c>
    </row>
    <row r="255" spans="3:6" x14ac:dyDescent="0.25">
      <c r="C255" t="s">
        <v>466</v>
      </c>
      <c r="D255" s="7">
        <v>194700</v>
      </c>
      <c r="E255" t="s">
        <v>467</v>
      </c>
      <c r="F255" s="9">
        <v>45915</v>
      </c>
    </row>
    <row r="256" spans="3:6" x14ac:dyDescent="0.25">
      <c r="C256" t="s">
        <v>468</v>
      </c>
      <c r="D256" s="7">
        <v>7000</v>
      </c>
      <c r="E256" t="s">
        <v>467</v>
      </c>
      <c r="F256" s="9">
        <v>45915</v>
      </c>
    </row>
    <row r="257" spans="3:6" x14ac:dyDescent="0.25">
      <c r="C257" s="18" t="s">
        <v>469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470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471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431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472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473</v>
      </c>
      <c r="D262" s="7">
        <v>4000</v>
      </c>
      <c r="E262" t="s">
        <v>474</v>
      </c>
      <c r="F262" s="9">
        <v>45916</v>
      </c>
    </row>
    <row r="263" spans="3:6" x14ac:dyDescent="0.25">
      <c r="C263" s="18" t="s">
        <v>475</v>
      </c>
      <c r="D263" s="7">
        <v>262.33999999999997</v>
      </c>
      <c r="F263" s="9">
        <v>45917</v>
      </c>
    </row>
    <row r="264" spans="3:6" x14ac:dyDescent="0.25">
      <c r="C264" s="18" t="s">
        <v>476</v>
      </c>
      <c r="D264" s="7">
        <v>56.15</v>
      </c>
      <c r="F264" s="9">
        <v>45917</v>
      </c>
    </row>
    <row r="265" spans="3:6" x14ac:dyDescent="0.25">
      <c r="C265" s="18" t="s">
        <v>477</v>
      </c>
      <c r="D265" s="7">
        <v>697.5</v>
      </c>
      <c r="E265" t="s">
        <v>478</v>
      </c>
      <c r="F265" s="9">
        <v>45917</v>
      </c>
    </row>
    <row r="266" spans="3:6" x14ac:dyDescent="0.25">
      <c r="C266" t="s">
        <v>479</v>
      </c>
      <c r="D266" s="7">
        <v>13300</v>
      </c>
      <c r="E266" t="s">
        <v>480</v>
      </c>
      <c r="F266" s="9">
        <v>45917</v>
      </c>
    </row>
    <row r="267" spans="3:6" x14ac:dyDescent="0.25">
      <c r="C267" s="18" t="s">
        <v>475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481</v>
      </c>
      <c r="D268" s="7">
        <v>124</v>
      </c>
      <c r="E268" t="s">
        <v>486</v>
      </c>
      <c r="F268" s="9">
        <v>45919</v>
      </c>
    </row>
    <row r="269" spans="3:6" x14ac:dyDescent="0.25">
      <c r="C269" s="18" t="s">
        <v>482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483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484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485</v>
      </c>
      <c r="D272" s="7">
        <v>195</v>
      </c>
      <c r="E272" t="s">
        <v>487</v>
      </c>
      <c r="F272" s="9">
        <v>45919</v>
      </c>
    </row>
    <row r="273" spans="3:6" x14ac:dyDescent="0.25">
      <c r="C273" s="18" t="s">
        <v>488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490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469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469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469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491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425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425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493</v>
      </c>
      <c r="D282" s="7">
        <v>11300</v>
      </c>
      <c r="E282" t="s">
        <v>492</v>
      </c>
      <c r="F282" s="9">
        <v>45946</v>
      </c>
    </row>
    <row r="283" spans="3:6" x14ac:dyDescent="0.25">
      <c r="C283" t="s">
        <v>494</v>
      </c>
      <c r="D283" s="7">
        <v>7722</v>
      </c>
      <c r="E283" t="s">
        <v>497</v>
      </c>
      <c r="F283" s="9">
        <v>45947</v>
      </c>
    </row>
    <row r="284" spans="3:6" x14ac:dyDescent="0.25">
      <c r="C284" t="s">
        <v>495</v>
      </c>
      <c r="D284" s="7">
        <v>1764</v>
      </c>
      <c r="E284" t="s">
        <v>497</v>
      </c>
      <c r="F284" s="9">
        <v>45947</v>
      </c>
    </row>
    <row r="285" spans="3:6" x14ac:dyDescent="0.25">
      <c r="C285" t="s">
        <v>496</v>
      </c>
      <c r="D285" s="7">
        <v>136</v>
      </c>
      <c r="E285" t="s">
        <v>497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497</v>
      </c>
      <c r="F286" s="9">
        <v>45947</v>
      </c>
    </row>
    <row r="287" spans="3:6" x14ac:dyDescent="0.25">
      <c r="C287" t="s">
        <v>498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499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431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501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502</v>
      </c>
      <c r="D292" s="7">
        <v>44500</v>
      </c>
      <c r="E292" t="s">
        <v>503</v>
      </c>
      <c r="F292" s="9">
        <v>45953</v>
      </c>
    </row>
    <row r="293" spans="3:6" x14ac:dyDescent="0.25">
      <c r="C293" t="s">
        <v>504</v>
      </c>
      <c r="D293" s="7">
        <v>44050</v>
      </c>
      <c r="E293" t="s">
        <v>505</v>
      </c>
      <c r="F293" s="9">
        <v>45954</v>
      </c>
    </row>
    <row r="294" spans="3:6" x14ac:dyDescent="0.25">
      <c r="C294" t="s">
        <v>506</v>
      </c>
      <c r="D294" s="7">
        <v>500</v>
      </c>
      <c r="E294" t="s">
        <v>507</v>
      </c>
      <c r="F294" s="9">
        <v>45954</v>
      </c>
    </row>
    <row r="295" spans="3:6" x14ac:dyDescent="0.25">
      <c r="C295" t="s">
        <v>510</v>
      </c>
      <c r="D295" s="7">
        <v>136080</v>
      </c>
      <c r="E295" t="s">
        <v>467</v>
      </c>
      <c r="F295" s="9">
        <v>45968</v>
      </c>
    </row>
    <row r="296" spans="3:6" x14ac:dyDescent="0.25">
      <c r="C296" t="s">
        <v>508</v>
      </c>
      <c r="D296" s="7">
        <v>8500</v>
      </c>
      <c r="E296" t="s">
        <v>509</v>
      </c>
      <c r="F296" s="9">
        <v>45968</v>
      </c>
    </row>
    <row r="297" spans="3:6" x14ac:dyDescent="0.25">
      <c r="C297" t="s">
        <v>511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512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513</v>
      </c>
      <c r="D299" s="7">
        <v>569.9</v>
      </c>
      <c r="E299" t="s">
        <v>514</v>
      </c>
      <c r="F299" s="9">
        <v>45974</v>
      </c>
    </row>
    <row r="300" spans="3:6" x14ac:dyDescent="0.25">
      <c r="C300" s="18" t="s">
        <v>515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516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517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518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519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520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521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522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523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524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525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526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527</v>
      </c>
      <c r="D312" s="7">
        <v>2100</v>
      </c>
      <c r="E312" t="s">
        <v>530</v>
      </c>
      <c r="F312" s="20">
        <v>46001</v>
      </c>
    </row>
    <row r="313" spans="3:6" x14ac:dyDescent="0.25">
      <c r="C313" t="s">
        <v>528</v>
      </c>
      <c r="D313" s="7">
        <v>380</v>
      </c>
      <c r="E313" t="s">
        <v>531</v>
      </c>
      <c r="F313" s="20">
        <v>46001</v>
      </c>
    </row>
    <row r="314" spans="3:6" x14ac:dyDescent="0.25">
      <c r="C314" t="s">
        <v>529</v>
      </c>
      <c r="D314" s="7">
        <v>220</v>
      </c>
      <c r="E314" t="s">
        <v>532</v>
      </c>
      <c r="F314" s="20">
        <v>46001</v>
      </c>
    </row>
    <row r="315" spans="3:6" x14ac:dyDescent="0.25">
      <c r="C315" s="18" t="s">
        <v>533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534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535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3:6" x14ac:dyDescent="0.25">
      <c r="C319" t="s">
        <v>610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611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612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613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614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615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616</v>
      </c>
      <c r="D325" s="7">
        <v>2471</v>
      </c>
      <c r="E325" t="s">
        <v>622</v>
      </c>
      <c r="F325" s="9">
        <v>46071</v>
      </c>
    </row>
    <row r="326" spans="2:6" x14ac:dyDescent="0.25">
      <c r="C326" t="s">
        <v>617</v>
      </c>
      <c r="D326" s="7">
        <v>3700</v>
      </c>
      <c r="E326" t="s">
        <v>622</v>
      </c>
      <c r="F326" s="9">
        <v>46071</v>
      </c>
    </row>
    <row r="327" spans="2:6" x14ac:dyDescent="0.25">
      <c r="C327" t="s">
        <v>618</v>
      </c>
      <c r="D327" s="7">
        <v>473</v>
      </c>
      <c r="E327" t="s">
        <v>622</v>
      </c>
      <c r="F327" s="9">
        <v>46071</v>
      </c>
    </row>
    <row r="328" spans="2:6" x14ac:dyDescent="0.25">
      <c r="C328" t="s">
        <v>619</v>
      </c>
      <c r="D328" s="7">
        <v>2040</v>
      </c>
      <c r="E328" t="s">
        <v>622</v>
      </c>
      <c r="F328" s="9">
        <v>46070</v>
      </c>
    </row>
    <row r="329" spans="2:6" x14ac:dyDescent="0.25">
      <c r="B329" t="s">
        <v>621</v>
      </c>
      <c r="C329" t="s">
        <v>620</v>
      </c>
      <c r="D329" s="7">
        <v>348</v>
      </c>
      <c r="E329" t="s">
        <v>622</v>
      </c>
      <c r="F329" s="9">
        <v>46070</v>
      </c>
    </row>
    <row r="330" spans="2:6" x14ac:dyDescent="0.25">
      <c r="C330" t="s">
        <v>623</v>
      </c>
      <c r="D330" s="7">
        <v>988</v>
      </c>
      <c r="E330" t="s">
        <v>622</v>
      </c>
      <c r="F330" s="9">
        <v>46084</v>
      </c>
    </row>
    <row r="331" spans="2:6" x14ac:dyDescent="0.25">
      <c r="C331" t="s">
        <v>648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649</v>
      </c>
      <c r="D332" s="7">
        <v>1215</v>
      </c>
      <c r="E332" t="s">
        <v>622</v>
      </c>
      <c r="F332" s="9">
        <v>46085</v>
      </c>
    </row>
    <row r="333" spans="2:6" x14ac:dyDescent="0.25">
      <c r="C333" t="s">
        <v>650</v>
      </c>
      <c r="D333" s="7">
        <v>3275</v>
      </c>
      <c r="E333" t="s">
        <v>622</v>
      </c>
      <c r="F333" s="9">
        <v>46085</v>
      </c>
    </row>
    <row r="334" spans="2:6" x14ac:dyDescent="0.25">
      <c r="C334" t="s">
        <v>651</v>
      </c>
      <c r="D334" s="7">
        <v>677</v>
      </c>
      <c r="E334" t="s">
        <v>622</v>
      </c>
      <c r="F334" s="9">
        <v>46080</v>
      </c>
    </row>
    <row r="335" spans="2:6" x14ac:dyDescent="0.25">
      <c r="C335" t="s">
        <v>652</v>
      </c>
      <c r="D335" s="7">
        <v>1123</v>
      </c>
      <c r="E335" t="s">
        <v>622</v>
      </c>
      <c r="F335" s="9">
        <v>46079</v>
      </c>
    </row>
    <row r="336" spans="2:6" x14ac:dyDescent="0.25">
      <c r="C336" s="18" t="s">
        <v>653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654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655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656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657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658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659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660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662</v>
      </c>
      <c r="D344" s="7">
        <v>845</v>
      </c>
      <c r="E344" t="s">
        <v>661</v>
      </c>
      <c r="F344" s="9">
        <v>46105</v>
      </c>
    </row>
    <row r="345" spans="3:6" x14ac:dyDescent="0.25">
      <c r="C345" t="s">
        <v>663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664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665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666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667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668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669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670</v>
      </c>
      <c r="D352" s="7">
        <v>1100</v>
      </c>
      <c r="E352" t="s">
        <v>173</v>
      </c>
      <c r="F352" s="9">
        <v>46113</v>
      </c>
    </row>
    <row r="353" spans="3:9" x14ac:dyDescent="0.25">
      <c r="C353" t="s">
        <v>671</v>
      </c>
      <c r="D353" s="7">
        <v>756</v>
      </c>
      <c r="E353" t="s">
        <v>173</v>
      </c>
      <c r="F353" s="9">
        <v>46113</v>
      </c>
    </row>
    <row r="354" spans="3:9" x14ac:dyDescent="0.25">
      <c r="C354" t="s">
        <v>672</v>
      </c>
      <c r="D354" s="7">
        <v>358</v>
      </c>
      <c r="E354" t="s">
        <v>173</v>
      </c>
      <c r="F354" s="9">
        <v>46113</v>
      </c>
    </row>
    <row r="355" spans="3:9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9" x14ac:dyDescent="0.25">
      <c r="C356" t="s">
        <v>44</v>
      </c>
      <c r="D356" s="7">
        <v>4000</v>
      </c>
      <c r="E356" t="s">
        <v>673</v>
      </c>
      <c r="F356" s="9">
        <v>46113</v>
      </c>
    </row>
    <row r="357" spans="3:9" x14ac:dyDescent="0.25">
      <c r="C357" s="54" t="s">
        <v>675</v>
      </c>
      <c r="D357" s="7">
        <v>6138</v>
      </c>
      <c r="E357" s="52" t="s">
        <v>674</v>
      </c>
      <c r="F357" s="9">
        <v>46119</v>
      </c>
      <c r="I357" s="7"/>
    </row>
    <row r="358" spans="3:9" x14ac:dyDescent="0.25">
      <c r="C358" s="54" t="s">
        <v>676</v>
      </c>
      <c r="D358" s="7">
        <v>8890</v>
      </c>
      <c r="E358" s="52" t="s">
        <v>674</v>
      </c>
      <c r="F358" s="9">
        <v>46119</v>
      </c>
    </row>
    <row r="359" spans="3:9" x14ac:dyDescent="0.25">
      <c r="C359" s="54" t="s">
        <v>677</v>
      </c>
      <c r="D359" s="7">
        <v>17960</v>
      </c>
      <c r="E359" s="52" t="s">
        <v>674</v>
      </c>
      <c r="F359" s="9">
        <v>46119</v>
      </c>
    </row>
    <row r="360" spans="3:9" x14ac:dyDescent="0.25">
      <c r="C360" s="53" t="s">
        <v>678</v>
      </c>
      <c r="D360" s="7">
        <v>529</v>
      </c>
      <c r="E360" s="52" t="s">
        <v>674</v>
      </c>
      <c r="F360" s="9">
        <v>46119</v>
      </c>
    </row>
    <row r="361" spans="3:9" x14ac:dyDescent="0.25">
      <c r="C361" t="s">
        <v>679</v>
      </c>
      <c r="D361" s="7">
        <v>1092.22</v>
      </c>
      <c r="E361" t="s">
        <v>682</v>
      </c>
      <c r="F361" s="9">
        <v>46123</v>
      </c>
    </row>
    <row r="362" spans="3:9" x14ac:dyDescent="0.25">
      <c r="C362" t="s">
        <v>680</v>
      </c>
      <c r="D362" s="7">
        <v>16.489999999999998</v>
      </c>
      <c r="E362" t="s">
        <v>682</v>
      </c>
      <c r="F362" s="9">
        <v>46123</v>
      </c>
    </row>
    <row r="363" spans="3:9" x14ac:dyDescent="0.25">
      <c r="C363" t="s">
        <v>681</v>
      </c>
      <c r="D363" s="7">
        <v>183</v>
      </c>
      <c r="E363" t="s">
        <v>682</v>
      </c>
      <c r="F363" s="9">
        <v>46123</v>
      </c>
    </row>
    <row r="364" spans="3:9" x14ac:dyDescent="0.25">
      <c r="C364" t="s">
        <v>683</v>
      </c>
      <c r="D364" s="7">
        <v>792</v>
      </c>
      <c r="E364" t="s">
        <v>497</v>
      </c>
      <c r="F364" s="9">
        <v>46124</v>
      </c>
    </row>
    <row r="365" spans="3:9" x14ac:dyDescent="0.25">
      <c r="C365" t="s">
        <v>684</v>
      </c>
      <c r="D365" s="7">
        <v>136</v>
      </c>
      <c r="E365" t="s">
        <v>497</v>
      </c>
      <c r="F365" s="9">
        <v>46124</v>
      </c>
    </row>
    <row r="366" spans="3:9" x14ac:dyDescent="0.25">
      <c r="C366" t="s">
        <v>685</v>
      </c>
      <c r="D366" s="7">
        <v>101</v>
      </c>
      <c r="E366" t="s">
        <v>497</v>
      </c>
      <c r="F366" s="9">
        <v>46124</v>
      </c>
    </row>
    <row r="367" spans="3:9" x14ac:dyDescent="0.25">
      <c r="C367" t="s">
        <v>686</v>
      </c>
      <c r="D367" s="7">
        <v>72</v>
      </c>
      <c r="E367" t="s">
        <v>497</v>
      </c>
      <c r="F367" s="9">
        <v>46124</v>
      </c>
    </row>
    <row r="368" spans="3:9" x14ac:dyDescent="0.25">
      <c r="C368" t="s">
        <v>687</v>
      </c>
      <c r="D368" s="7">
        <v>164</v>
      </c>
      <c r="E368" t="s">
        <v>497</v>
      </c>
      <c r="F368" s="9">
        <v>46127</v>
      </c>
    </row>
    <row r="369" spans="3:6" x14ac:dyDescent="0.25">
      <c r="C369" t="s">
        <v>688</v>
      </c>
      <c r="D369" s="7">
        <v>162</v>
      </c>
      <c r="E369" t="s">
        <v>497</v>
      </c>
      <c r="F369" s="9">
        <v>46127</v>
      </c>
    </row>
    <row r="370" spans="3:6" x14ac:dyDescent="0.25">
      <c r="C370" t="s">
        <v>710</v>
      </c>
      <c r="D370" s="7">
        <v>42510</v>
      </c>
      <c r="E370" t="s">
        <v>467</v>
      </c>
      <c r="F370" s="9">
        <v>46132</v>
      </c>
    </row>
    <row r="371" spans="3:6" x14ac:dyDescent="0.25">
      <c r="C371" t="s">
        <v>711</v>
      </c>
      <c r="D371" s="7">
        <v>39000</v>
      </c>
      <c r="E371" t="s">
        <v>467</v>
      </c>
      <c r="F371" s="9">
        <v>46132</v>
      </c>
    </row>
    <row r="372" spans="3:6" x14ac:dyDescent="0.25">
      <c r="C372" t="s">
        <v>712</v>
      </c>
      <c r="D372" s="7">
        <v>3510</v>
      </c>
      <c r="E372" t="s">
        <v>467</v>
      </c>
      <c r="F372" s="9">
        <v>46132</v>
      </c>
    </row>
    <row r="373" spans="3:6" x14ac:dyDescent="0.25">
      <c r="C373" t="s">
        <v>713</v>
      </c>
      <c r="D373" s="7">
        <v>20280</v>
      </c>
      <c r="E373" t="s">
        <v>467</v>
      </c>
      <c r="F373" s="9">
        <v>46132</v>
      </c>
    </row>
    <row r="374" spans="3:6" x14ac:dyDescent="0.25">
      <c r="C374" t="s">
        <v>715</v>
      </c>
      <c r="D374" s="7">
        <v>6000</v>
      </c>
      <c r="E374" t="s">
        <v>714</v>
      </c>
      <c r="F374" s="9">
        <v>46132</v>
      </c>
    </row>
    <row r="375" spans="3:6" x14ac:dyDescent="0.25">
      <c r="C375" t="s">
        <v>716</v>
      </c>
      <c r="D375" s="7">
        <v>259.95999999999998</v>
      </c>
      <c r="E375" t="s">
        <v>211</v>
      </c>
      <c r="F375" s="9">
        <v>46138</v>
      </c>
    </row>
    <row r="376" spans="3:6" x14ac:dyDescent="0.25">
      <c r="C376" t="s">
        <v>717</v>
      </c>
      <c r="D376" s="7">
        <v>183</v>
      </c>
      <c r="E376" t="s">
        <v>211</v>
      </c>
      <c r="F376" s="9">
        <v>46138</v>
      </c>
    </row>
    <row r="377" spans="3:6" x14ac:dyDescent="0.25">
      <c r="C377" t="s">
        <v>718</v>
      </c>
      <c r="D377" s="7">
        <v>251.23</v>
      </c>
      <c r="E377" t="s">
        <v>211</v>
      </c>
      <c r="F377" s="9">
        <v>46138</v>
      </c>
    </row>
    <row r="378" spans="3:6" x14ac:dyDescent="0.25">
      <c r="C378" t="s">
        <v>719</v>
      </c>
      <c r="D378" s="7">
        <v>1092.22</v>
      </c>
      <c r="E378" t="s">
        <v>211</v>
      </c>
      <c r="F378" s="9">
        <v>46138</v>
      </c>
    </row>
    <row r="379" spans="3:6" x14ac:dyDescent="0.25">
      <c r="C379" t="s">
        <v>655</v>
      </c>
      <c r="D379" s="7">
        <v>182.22</v>
      </c>
      <c r="E379" t="s">
        <v>173</v>
      </c>
      <c r="F379" s="9">
        <v>46138</v>
      </c>
    </row>
    <row r="380" spans="3:6" x14ac:dyDescent="0.25">
      <c r="C380" t="s">
        <v>525</v>
      </c>
      <c r="D380" s="7">
        <v>46.02</v>
      </c>
      <c r="E380" t="s">
        <v>173</v>
      </c>
      <c r="F380" s="9">
        <v>46138</v>
      </c>
    </row>
    <row r="381" spans="3:6" x14ac:dyDescent="0.25">
      <c r="C381" t="s">
        <v>720</v>
      </c>
      <c r="D381" s="7">
        <v>108.6</v>
      </c>
      <c r="E381" t="s">
        <v>173</v>
      </c>
      <c r="F381" s="9">
        <v>46138</v>
      </c>
    </row>
    <row r="382" spans="3:6" x14ac:dyDescent="0.25">
      <c r="C382" t="s">
        <v>721</v>
      </c>
      <c r="D382" s="7">
        <v>323.95999999999998</v>
      </c>
      <c r="E382" t="s">
        <v>173</v>
      </c>
      <c r="F382" s="9">
        <v>46138</v>
      </c>
    </row>
    <row r="383" spans="3:6" x14ac:dyDescent="0.25">
      <c r="C383" t="s">
        <v>723</v>
      </c>
      <c r="D383" s="7">
        <v>175</v>
      </c>
      <c r="E383" t="s">
        <v>722</v>
      </c>
      <c r="F383" s="9">
        <v>46139</v>
      </c>
    </row>
    <row r="384" spans="3:6" x14ac:dyDescent="0.25">
      <c r="C384" t="s">
        <v>724</v>
      </c>
      <c r="D384" s="7">
        <v>109</v>
      </c>
      <c r="E384" t="s">
        <v>722</v>
      </c>
      <c r="F384" s="9">
        <v>46139</v>
      </c>
    </row>
    <row r="385" spans="3:6" x14ac:dyDescent="0.25">
      <c r="C385" t="s">
        <v>725</v>
      </c>
      <c r="D385" s="7">
        <v>171</v>
      </c>
      <c r="E385" t="s">
        <v>722</v>
      </c>
      <c r="F385" s="9">
        <v>46139</v>
      </c>
    </row>
    <row r="386" spans="3:6" x14ac:dyDescent="0.25">
      <c r="C386" t="s">
        <v>726</v>
      </c>
      <c r="D386" s="7">
        <v>196</v>
      </c>
      <c r="E386" t="s">
        <v>722</v>
      </c>
      <c r="F386" s="9">
        <v>46139</v>
      </c>
    </row>
    <row r="387" spans="3:6" x14ac:dyDescent="0.25">
      <c r="C387" t="s">
        <v>727</v>
      </c>
      <c r="D387" s="7">
        <v>480.8</v>
      </c>
      <c r="E387" t="s">
        <v>173</v>
      </c>
      <c r="F387" s="9">
        <v>46144</v>
      </c>
    </row>
    <row r="388" spans="3:6" x14ac:dyDescent="0.25">
      <c r="C388" t="s">
        <v>728</v>
      </c>
      <c r="D388" s="7">
        <v>182.47</v>
      </c>
      <c r="E388" t="s">
        <v>173</v>
      </c>
      <c r="F388" s="9">
        <v>46144</v>
      </c>
    </row>
    <row r="389" spans="3:6" x14ac:dyDescent="0.25">
      <c r="C389" t="s">
        <v>729</v>
      </c>
      <c r="D389" s="7">
        <v>547.41</v>
      </c>
      <c r="E389" t="s">
        <v>173</v>
      </c>
      <c r="F389" s="9">
        <v>46144</v>
      </c>
    </row>
    <row r="390" spans="3:6" x14ac:dyDescent="0.25">
      <c r="C390" t="s">
        <v>730</v>
      </c>
      <c r="D390" s="7">
        <v>29640</v>
      </c>
      <c r="E390" t="s">
        <v>731</v>
      </c>
      <c r="F390" s="9">
        <v>46147</v>
      </c>
    </row>
    <row r="391" spans="3:6" x14ac:dyDescent="0.25">
      <c r="C391" t="s">
        <v>732</v>
      </c>
      <c r="D391" s="7">
        <v>1560</v>
      </c>
      <c r="E391" t="s">
        <v>733</v>
      </c>
      <c r="F391" s="9">
        <v>46147</v>
      </c>
    </row>
    <row r="392" spans="3:6" x14ac:dyDescent="0.25">
      <c r="C392" t="s">
        <v>734</v>
      </c>
      <c r="D392" s="7">
        <v>3000</v>
      </c>
      <c r="E392" t="s">
        <v>119</v>
      </c>
      <c r="F392" s="9">
        <v>46147</v>
      </c>
    </row>
    <row r="393" spans="3:6" x14ac:dyDescent="0.25">
      <c r="C393" t="s">
        <v>735</v>
      </c>
      <c r="D393" s="7">
        <v>57.94</v>
      </c>
      <c r="E393" t="s">
        <v>173</v>
      </c>
      <c r="F393" s="9">
        <v>46149</v>
      </c>
    </row>
    <row r="394" spans="3:6" x14ac:dyDescent="0.25">
      <c r="C394" t="s">
        <v>736</v>
      </c>
      <c r="D394" s="7">
        <v>98.67</v>
      </c>
      <c r="E394" t="s">
        <v>173</v>
      </c>
      <c r="F394" s="9">
        <v>46149</v>
      </c>
    </row>
    <row r="395" spans="3:6" x14ac:dyDescent="0.25">
      <c r="C395" t="s">
        <v>737</v>
      </c>
      <c r="D395" s="7">
        <v>152.08000000000001</v>
      </c>
      <c r="E395" t="s">
        <v>173</v>
      </c>
      <c r="F395" s="9">
        <v>46149</v>
      </c>
    </row>
    <row r="396" spans="3:6" x14ac:dyDescent="0.25">
      <c r="C396" t="s">
        <v>738</v>
      </c>
      <c r="D396" s="7">
        <v>207.31</v>
      </c>
      <c r="E396" t="s">
        <v>173</v>
      </c>
      <c r="F396" s="9">
        <v>46149</v>
      </c>
    </row>
    <row r="397" spans="3:6" x14ac:dyDescent="0.25">
      <c r="C397" s="18" t="s">
        <v>739</v>
      </c>
      <c r="D397" s="7">
        <v>899</v>
      </c>
      <c r="E397" t="s">
        <v>173</v>
      </c>
      <c r="F397" s="9">
        <v>46164</v>
      </c>
    </row>
    <row r="398" spans="3:6" x14ac:dyDescent="0.25">
      <c r="C398" t="s">
        <v>740</v>
      </c>
      <c r="D398" s="7">
        <v>1196</v>
      </c>
      <c r="E398" t="s">
        <v>173</v>
      </c>
      <c r="F398" s="9">
        <v>46164</v>
      </c>
    </row>
    <row r="399" spans="3:6" x14ac:dyDescent="0.25">
      <c r="C399" s="18" t="s">
        <v>741</v>
      </c>
      <c r="D399" s="7">
        <v>238</v>
      </c>
      <c r="E399" t="s">
        <v>173</v>
      </c>
      <c r="F399" s="9">
        <v>46164</v>
      </c>
    </row>
    <row r="400" spans="3:6" x14ac:dyDescent="0.25">
      <c r="C400" t="s">
        <v>742</v>
      </c>
      <c r="D400" s="7">
        <v>9164.33</v>
      </c>
      <c r="E400" t="s">
        <v>173</v>
      </c>
      <c r="F400" s="9">
        <v>46164</v>
      </c>
    </row>
    <row r="401" spans="3:6" x14ac:dyDescent="0.25">
      <c r="C401" t="s">
        <v>743</v>
      </c>
      <c r="D401" s="7">
        <v>8507.39</v>
      </c>
      <c r="E401" t="s">
        <v>173</v>
      </c>
      <c r="F401" s="9">
        <v>46164</v>
      </c>
    </row>
    <row r="402" spans="3:6" x14ac:dyDescent="0.25">
      <c r="C402" t="s">
        <v>744</v>
      </c>
      <c r="D402" s="7">
        <v>890.85</v>
      </c>
      <c r="E402" t="s">
        <v>173</v>
      </c>
      <c r="F402" s="9">
        <v>46164</v>
      </c>
    </row>
    <row r="403" spans="3:6" x14ac:dyDescent="0.25">
      <c r="C403" s="18" t="s">
        <v>745</v>
      </c>
      <c r="D403" s="7">
        <v>1570.68</v>
      </c>
      <c r="E403" t="s">
        <v>173</v>
      </c>
      <c r="F403" s="9">
        <v>46164</v>
      </c>
    </row>
    <row r="404" spans="3:6" x14ac:dyDescent="0.25">
      <c r="C404" s="18" t="s">
        <v>746</v>
      </c>
      <c r="D404" s="7">
        <v>2780.06</v>
      </c>
      <c r="E404" t="s">
        <v>173</v>
      </c>
      <c r="F404" s="9">
        <v>46164</v>
      </c>
    </row>
    <row r="405" spans="3:6" x14ac:dyDescent="0.25">
      <c r="C405" t="s">
        <v>747</v>
      </c>
      <c r="D405" s="7">
        <v>1570.7</v>
      </c>
      <c r="E405" t="s">
        <v>173</v>
      </c>
      <c r="F405" s="9">
        <v>46164</v>
      </c>
    </row>
    <row r="406" spans="3:6" x14ac:dyDescent="0.25">
      <c r="C406" s="18" t="s">
        <v>426</v>
      </c>
      <c r="D406" s="7">
        <v>2030</v>
      </c>
      <c r="E406" t="s">
        <v>173</v>
      </c>
      <c r="F406" s="9">
        <v>46164</v>
      </c>
    </row>
    <row r="407" spans="3:6" x14ac:dyDescent="0.25">
      <c r="C407" t="s">
        <v>748</v>
      </c>
      <c r="D407" s="7">
        <v>1900</v>
      </c>
      <c r="E407" t="s">
        <v>749</v>
      </c>
      <c r="F407" s="9">
        <v>46164</v>
      </c>
    </row>
    <row r="408" spans="3:6" x14ac:dyDescent="0.25">
      <c r="C408" s="18" t="s">
        <v>750</v>
      </c>
      <c r="D408" s="7">
        <v>277.24</v>
      </c>
      <c r="E408" t="s">
        <v>173</v>
      </c>
      <c r="F408" s="9">
        <v>46165</v>
      </c>
    </row>
    <row r="409" spans="3:6" x14ac:dyDescent="0.25">
      <c r="C409" s="18" t="s">
        <v>751</v>
      </c>
      <c r="D409" s="7">
        <v>110.62</v>
      </c>
      <c r="E409" t="s">
        <v>173</v>
      </c>
      <c r="F409" s="9">
        <v>46165</v>
      </c>
    </row>
    <row r="410" spans="3:6" x14ac:dyDescent="0.25">
      <c r="C410" t="s">
        <v>752</v>
      </c>
      <c r="D410" s="7">
        <v>7414</v>
      </c>
      <c r="E410" t="s">
        <v>754</v>
      </c>
      <c r="F410" s="9">
        <v>46165</v>
      </c>
    </row>
    <row r="411" spans="3:6" x14ac:dyDescent="0.25">
      <c r="C411" t="s">
        <v>753</v>
      </c>
      <c r="D411" s="7">
        <v>81</v>
      </c>
      <c r="E411" t="s">
        <v>754</v>
      </c>
      <c r="F411" s="9">
        <v>46165</v>
      </c>
    </row>
    <row r="412" spans="3:6" x14ac:dyDescent="0.25">
      <c r="C412" t="s">
        <v>209</v>
      </c>
      <c r="D412" s="7">
        <v>670</v>
      </c>
      <c r="E412" t="s">
        <v>754</v>
      </c>
      <c r="F412" s="9">
        <v>46165</v>
      </c>
    </row>
    <row r="413" spans="3:6" x14ac:dyDescent="0.25">
      <c r="C413" t="s">
        <v>755</v>
      </c>
      <c r="D413" s="7">
        <v>548.04999999999995</v>
      </c>
      <c r="E413" t="s">
        <v>211</v>
      </c>
      <c r="F413" s="9">
        <v>46165</v>
      </c>
    </row>
    <row r="414" spans="3:6" x14ac:dyDescent="0.25">
      <c r="C414" t="s">
        <v>756</v>
      </c>
      <c r="D414" s="7">
        <v>703.25</v>
      </c>
      <c r="E414" t="s">
        <v>211</v>
      </c>
      <c r="F414" s="9">
        <v>46165</v>
      </c>
    </row>
    <row r="415" spans="3:6" x14ac:dyDescent="0.25">
      <c r="C415" t="s">
        <v>757</v>
      </c>
      <c r="D415" s="7">
        <v>960.3</v>
      </c>
      <c r="E415" t="s">
        <v>211</v>
      </c>
      <c r="F415" s="9">
        <v>46165</v>
      </c>
    </row>
    <row r="416" spans="3:6" x14ac:dyDescent="0.25">
      <c r="C416" t="s">
        <v>758</v>
      </c>
      <c r="D416" s="7">
        <v>348.23</v>
      </c>
      <c r="E416" t="s">
        <v>211</v>
      </c>
      <c r="F416" s="9">
        <v>46165</v>
      </c>
    </row>
    <row r="417" spans="3:6" x14ac:dyDescent="0.25">
      <c r="C417" t="s">
        <v>759</v>
      </c>
      <c r="D417" s="7">
        <v>3841.2</v>
      </c>
      <c r="E417" t="s">
        <v>211</v>
      </c>
      <c r="F417" s="9">
        <v>46165</v>
      </c>
    </row>
    <row r="418" spans="3:6" x14ac:dyDescent="0.25">
      <c r="C418" t="s">
        <v>760</v>
      </c>
      <c r="D418" s="7">
        <v>192.06</v>
      </c>
      <c r="E418" t="s">
        <v>211</v>
      </c>
      <c r="F418" s="9">
        <v>46165</v>
      </c>
    </row>
    <row r="419" spans="3:6" x14ac:dyDescent="0.25">
      <c r="C419" t="s">
        <v>761</v>
      </c>
      <c r="D419" s="7">
        <v>1203.43</v>
      </c>
      <c r="E419" t="s">
        <v>173</v>
      </c>
      <c r="F419" s="9">
        <v>46168</v>
      </c>
    </row>
    <row r="420" spans="3:6" x14ac:dyDescent="0.25">
      <c r="C420" t="s">
        <v>762</v>
      </c>
      <c r="D420" s="7">
        <v>649.45000000000005</v>
      </c>
      <c r="E420" t="s">
        <v>173</v>
      </c>
      <c r="F420" s="9">
        <v>46168</v>
      </c>
    </row>
    <row r="421" spans="3:6" x14ac:dyDescent="0.25">
      <c r="C421" t="s">
        <v>763</v>
      </c>
      <c r="D421" s="7">
        <v>246.12</v>
      </c>
      <c r="E421" t="s">
        <v>173</v>
      </c>
      <c r="F421" s="9">
        <v>46168</v>
      </c>
    </row>
    <row r="422" spans="3:6" x14ac:dyDescent="0.25">
      <c r="C422" t="s">
        <v>764</v>
      </c>
      <c r="D422" s="7">
        <v>384.89</v>
      </c>
      <c r="E422" t="s">
        <v>173</v>
      </c>
      <c r="F422" s="9">
        <v>46169</v>
      </c>
    </row>
    <row r="423" spans="3:6" x14ac:dyDescent="0.25">
      <c r="C423" t="s">
        <v>765</v>
      </c>
      <c r="D423" s="7">
        <v>257.56</v>
      </c>
      <c r="E423" t="s">
        <v>173</v>
      </c>
      <c r="F423" s="9">
        <v>46169</v>
      </c>
    </row>
    <row r="424" spans="3:6" x14ac:dyDescent="0.25">
      <c r="C424" t="s">
        <v>766</v>
      </c>
      <c r="D424" s="7">
        <v>622.17999999999995</v>
      </c>
      <c r="E424" t="s">
        <v>173</v>
      </c>
      <c r="F424" s="9">
        <v>46169</v>
      </c>
    </row>
    <row r="425" spans="3:6" x14ac:dyDescent="0.25">
      <c r="C425" t="s">
        <v>767</v>
      </c>
      <c r="D425" s="7">
        <v>120.58</v>
      </c>
      <c r="E425" t="s">
        <v>173</v>
      </c>
      <c r="F425" s="9">
        <v>46169</v>
      </c>
    </row>
    <row r="426" spans="3:6" x14ac:dyDescent="0.25">
      <c r="C426" t="s">
        <v>768</v>
      </c>
      <c r="D426" s="7">
        <v>192.94</v>
      </c>
      <c r="E426" t="s">
        <v>173</v>
      </c>
      <c r="F426" s="9">
        <v>46169</v>
      </c>
    </row>
    <row r="427" spans="3:6" x14ac:dyDescent="0.25">
      <c r="C427" t="s">
        <v>769</v>
      </c>
      <c r="D427" s="7">
        <v>336.65</v>
      </c>
      <c r="E427" t="s">
        <v>173</v>
      </c>
      <c r="F427" s="9">
        <v>46169</v>
      </c>
    </row>
    <row r="428" spans="3:6" x14ac:dyDescent="0.25">
      <c r="C428" t="s">
        <v>770</v>
      </c>
      <c r="D428" s="7">
        <v>376.2</v>
      </c>
      <c r="E428" t="s">
        <v>173</v>
      </c>
      <c r="F428" s="9">
        <v>46169</v>
      </c>
    </row>
    <row r="429" spans="3:6" x14ac:dyDescent="0.25">
      <c r="C429" t="s">
        <v>771</v>
      </c>
      <c r="D429" s="7">
        <v>399</v>
      </c>
      <c r="E429" t="s">
        <v>211</v>
      </c>
      <c r="F429" s="9">
        <v>46170</v>
      </c>
    </row>
    <row r="430" spans="3:6" x14ac:dyDescent="0.25">
      <c r="C430" t="s">
        <v>772</v>
      </c>
      <c r="D430" s="7">
        <v>1250</v>
      </c>
      <c r="E430" t="s">
        <v>211</v>
      </c>
      <c r="F430" s="9">
        <v>46170</v>
      </c>
    </row>
    <row r="431" spans="3:6" x14ac:dyDescent="0.25">
      <c r="C431" t="s">
        <v>773</v>
      </c>
      <c r="D431" s="7">
        <v>500</v>
      </c>
      <c r="E431" t="s">
        <v>211</v>
      </c>
      <c r="F431" s="9">
        <v>46170</v>
      </c>
    </row>
    <row r="432" spans="3:6" x14ac:dyDescent="0.25">
      <c r="C432" t="s">
        <v>740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3:6" x14ac:dyDescent="0.25">
      <c r="C433" t="s">
        <v>774</v>
      </c>
      <c r="D433" s="7">
        <f>28.17*4</f>
        <v>112.68</v>
      </c>
      <c r="E433" t="s">
        <v>173</v>
      </c>
      <c r="F433" s="9">
        <v>46173</v>
      </c>
    </row>
    <row r="434" spans="3:6" x14ac:dyDescent="0.25">
      <c r="C434" t="s">
        <v>775</v>
      </c>
      <c r="D434" s="7">
        <f>105.87*4</f>
        <v>423.48</v>
      </c>
      <c r="E434" t="s">
        <v>173</v>
      </c>
      <c r="F434" s="9">
        <v>46173</v>
      </c>
    </row>
    <row r="435" spans="3:6" x14ac:dyDescent="0.25"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3:6" x14ac:dyDescent="0.25">
      <c r="C436" s="18" t="s">
        <v>776</v>
      </c>
      <c r="D436" s="7">
        <f>(13+18)*34.96</f>
        <v>1083.76</v>
      </c>
      <c r="E436" t="s">
        <v>173</v>
      </c>
      <c r="F436" s="9">
        <v>46173</v>
      </c>
    </row>
    <row r="437" spans="3:6" x14ac:dyDescent="0.25">
      <c r="C437" t="s">
        <v>778</v>
      </c>
      <c r="D437" s="7">
        <v>441993.2</v>
      </c>
      <c r="E437" t="s">
        <v>777</v>
      </c>
      <c r="F437" s="9">
        <v>46169</v>
      </c>
    </row>
    <row r="438" spans="3:6" x14ac:dyDescent="0.25">
      <c r="C438" t="s">
        <v>779</v>
      </c>
      <c r="D438" s="7">
        <v>47851.75</v>
      </c>
      <c r="E438" t="s">
        <v>780</v>
      </c>
      <c r="F438" s="9">
        <v>46169</v>
      </c>
    </row>
    <row r="439" spans="3:6" x14ac:dyDescent="0.25">
      <c r="C439" t="s">
        <v>781</v>
      </c>
      <c r="D439" s="7">
        <v>200000</v>
      </c>
      <c r="E439" s="55">
        <v>0.5</v>
      </c>
      <c r="F439" s="9">
        <v>46173</v>
      </c>
    </row>
    <row r="440" spans="3:6" x14ac:dyDescent="0.25">
      <c r="C440" t="s">
        <v>782</v>
      </c>
      <c r="D440" s="7">
        <v>6000</v>
      </c>
      <c r="E440" t="s">
        <v>783</v>
      </c>
      <c r="F440" s="9">
        <v>46174</v>
      </c>
    </row>
    <row r="441" spans="3:6" x14ac:dyDescent="0.25">
      <c r="C441" t="s">
        <v>784</v>
      </c>
      <c r="D441" s="7">
        <v>88.82</v>
      </c>
      <c r="E441" t="s">
        <v>173</v>
      </c>
      <c r="F441" s="9">
        <v>46176</v>
      </c>
    </row>
    <row r="442" spans="3:6" x14ac:dyDescent="0.25">
      <c r="C442" t="s">
        <v>785</v>
      </c>
      <c r="D442" s="7">
        <f>357.97*2</f>
        <v>715.94</v>
      </c>
      <c r="E442" t="s">
        <v>173</v>
      </c>
      <c r="F442" s="9">
        <v>46176</v>
      </c>
    </row>
    <row r="443" spans="3:6" x14ac:dyDescent="0.25">
      <c r="C443" t="s">
        <v>434</v>
      </c>
      <c r="D443" s="7">
        <v>268.25</v>
      </c>
      <c r="E443" t="s">
        <v>173</v>
      </c>
      <c r="F443" s="9">
        <v>46176</v>
      </c>
    </row>
    <row r="444" spans="3:6" x14ac:dyDescent="0.25">
      <c r="C444" t="s">
        <v>786</v>
      </c>
      <c r="D444" s="7">
        <v>191.02</v>
      </c>
      <c r="E444" t="s">
        <v>173</v>
      </c>
      <c r="F444" s="9">
        <v>46176</v>
      </c>
    </row>
    <row r="445" spans="3:6" x14ac:dyDescent="0.25">
      <c r="C445" t="s">
        <v>787</v>
      </c>
      <c r="D445" s="7">
        <v>723.98</v>
      </c>
      <c r="E445" t="s">
        <v>173</v>
      </c>
      <c r="F445" s="9">
        <v>46176</v>
      </c>
    </row>
    <row r="446" spans="3:6" x14ac:dyDescent="0.25">
      <c r="C446" t="s">
        <v>788</v>
      </c>
      <c r="D446" s="7">
        <f>7*91.47</f>
        <v>640.29</v>
      </c>
      <c r="E446" t="s">
        <v>173</v>
      </c>
      <c r="F446" s="9">
        <v>46177</v>
      </c>
    </row>
    <row r="447" spans="3:6" x14ac:dyDescent="0.25">
      <c r="C447" s="18" t="s">
        <v>789</v>
      </c>
      <c r="D447" s="7">
        <f>4*174.18</f>
        <v>696.72</v>
      </c>
      <c r="E447" t="s">
        <v>173</v>
      </c>
      <c r="F447" s="9">
        <v>46177</v>
      </c>
    </row>
    <row r="448" spans="3:6" x14ac:dyDescent="0.25">
      <c r="C448" t="s">
        <v>790</v>
      </c>
      <c r="D448" s="7">
        <v>6592.4</v>
      </c>
      <c r="E448" t="s">
        <v>777</v>
      </c>
      <c r="F448" s="9"/>
    </row>
    <row r="449" spans="3:6" x14ac:dyDescent="0.25">
      <c r="C449" t="s">
        <v>792</v>
      </c>
      <c r="D449" s="7">
        <v>500</v>
      </c>
      <c r="E449" t="s">
        <v>791</v>
      </c>
      <c r="F449" s="9">
        <v>46178</v>
      </c>
    </row>
    <row r="450" spans="3:6" x14ac:dyDescent="0.25">
      <c r="C450" t="s">
        <v>793</v>
      </c>
      <c r="D450" s="7">
        <v>6630</v>
      </c>
      <c r="E450" t="s">
        <v>780</v>
      </c>
      <c r="F450" s="9">
        <v>46181</v>
      </c>
    </row>
    <row r="451" spans="3:6" x14ac:dyDescent="0.25">
      <c r="C451" t="s">
        <v>794</v>
      </c>
      <c r="D451" s="7">
        <v>279</v>
      </c>
      <c r="E451" t="s">
        <v>173</v>
      </c>
      <c r="F451" s="9">
        <v>46182</v>
      </c>
    </row>
    <row r="452" spans="3:6" x14ac:dyDescent="0.25">
      <c r="D452" s="7"/>
      <c r="F452" s="9"/>
    </row>
    <row r="453" spans="3:6" x14ac:dyDescent="0.25">
      <c r="D453" s="7"/>
      <c r="F453" s="9"/>
    </row>
    <row r="454" spans="3:6" x14ac:dyDescent="0.25">
      <c r="D454" s="7"/>
      <c r="F454" s="9"/>
    </row>
    <row r="455" spans="3:6" x14ac:dyDescent="0.25">
      <c r="D455" s="7"/>
      <c r="F455" s="9"/>
    </row>
    <row r="456" spans="3:6" x14ac:dyDescent="0.25">
      <c r="D456" s="7">
        <f>SUBTOTAL(109,Таблица4[Цена (руб)])</f>
        <v>4979167.6500000022</v>
      </c>
      <c r="F456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448</v>
      </c>
    </row>
    <row r="4" spans="2:4" x14ac:dyDescent="0.25">
      <c r="B4" t="s">
        <v>445</v>
      </c>
      <c r="C4">
        <v>0.47</v>
      </c>
    </row>
    <row r="5" spans="2:4" x14ac:dyDescent="0.25">
      <c r="B5" t="s">
        <v>446</v>
      </c>
      <c r="C5">
        <v>0.12</v>
      </c>
    </row>
    <row r="6" spans="2:4" x14ac:dyDescent="0.25">
      <c r="B6" t="s">
        <v>447</v>
      </c>
      <c r="C6">
        <v>0.54</v>
      </c>
    </row>
    <row r="7" spans="2:4" x14ac:dyDescent="0.25">
      <c r="B7" t="s">
        <v>449</v>
      </c>
      <c r="C7">
        <v>0.13</v>
      </c>
    </row>
    <row r="8" spans="2:4" x14ac:dyDescent="0.25">
      <c r="B8" t="s">
        <v>450</v>
      </c>
      <c r="C8">
        <v>0.45</v>
      </c>
    </row>
    <row r="9" spans="2:4" x14ac:dyDescent="0.25">
      <c r="B9" t="s">
        <v>451</v>
      </c>
      <c r="C9">
        <v>0.26</v>
      </c>
    </row>
    <row r="10" spans="2:4" x14ac:dyDescent="0.25">
      <c r="B10" t="s">
        <v>452</v>
      </c>
      <c r="C10">
        <v>0.56999999999999995</v>
      </c>
    </row>
    <row r="11" spans="2:4" x14ac:dyDescent="0.25">
      <c r="B11" t="s">
        <v>453</v>
      </c>
      <c r="C11">
        <v>0.45</v>
      </c>
    </row>
    <row r="12" spans="2:4" x14ac:dyDescent="0.25">
      <c r="B12" t="s">
        <v>454</v>
      </c>
      <c r="C12">
        <v>0.3</v>
      </c>
    </row>
    <row r="13" spans="2:4" x14ac:dyDescent="0.25">
      <c r="B13" t="s">
        <v>455</v>
      </c>
      <c r="C13">
        <v>7.0000000000000007E-2</v>
      </c>
    </row>
    <row r="14" spans="2:4" x14ac:dyDescent="0.25">
      <c r="B14" t="s">
        <v>456</v>
      </c>
      <c r="C14">
        <v>0.27</v>
      </c>
    </row>
    <row r="15" spans="2:4" x14ac:dyDescent="0.25">
      <c r="B15" t="s">
        <v>457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448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461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448</v>
      </c>
    </row>
    <row r="15" spans="3:12" x14ac:dyDescent="0.25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795</v>
      </c>
      <c r="G5" t="s">
        <v>346</v>
      </c>
      <c r="H5" s="27">
        <v>150</v>
      </c>
    </row>
    <row r="6" spans="1:11" x14ac:dyDescent="0.25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 x14ac:dyDescent="0.25">
      <c r="B7" t="s">
        <v>348</v>
      </c>
      <c r="C7" s="28">
        <v>20</v>
      </c>
      <c r="D7" t="s">
        <v>796</v>
      </c>
      <c r="G7" t="s">
        <v>348</v>
      </c>
      <c r="H7" s="28">
        <v>20</v>
      </c>
      <c r="I7" s="29" t="s">
        <v>398</v>
      </c>
    </row>
    <row r="8" spans="1:11" x14ac:dyDescent="0.25">
      <c r="B8" t="s">
        <v>797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 x14ac:dyDescent="0.25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abSelected="1" topLeftCell="A16" workbookViewId="0">
      <selection activeCell="D66" sqref="D66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574</v>
      </c>
    </row>
    <row r="4" spans="2:4" x14ac:dyDescent="0.25">
      <c r="B4" t="s">
        <v>538</v>
      </c>
      <c r="C4" t="s">
        <v>573</v>
      </c>
      <c r="D4" t="s">
        <v>1</v>
      </c>
    </row>
    <row r="5" spans="2:4" x14ac:dyDescent="0.25">
      <c r="B5" t="s">
        <v>539</v>
      </c>
      <c r="C5" s="23">
        <v>1</v>
      </c>
      <c r="D5" t="s">
        <v>798</v>
      </c>
    </row>
    <row r="6" spans="2:4" x14ac:dyDescent="0.25">
      <c r="B6" t="s">
        <v>541</v>
      </c>
      <c r="C6" s="23">
        <v>1</v>
      </c>
    </row>
    <row r="7" spans="2:4" x14ac:dyDescent="0.25">
      <c r="B7" t="s">
        <v>540</v>
      </c>
      <c r="C7" s="23">
        <v>1</v>
      </c>
    </row>
    <row r="8" spans="2:4" x14ac:dyDescent="0.25">
      <c r="B8" t="s">
        <v>542</v>
      </c>
      <c r="C8" s="23">
        <v>1</v>
      </c>
    </row>
    <row r="9" spans="2:4" x14ac:dyDescent="0.25">
      <c r="B9" t="s">
        <v>545</v>
      </c>
      <c r="C9" s="23">
        <v>2</v>
      </c>
    </row>
    <row r="10" spans="2:4" x14ac:dyDescent="0.25">
      <c r="B10" t="s">
        <v>543</v>
      </c>
      <c r="C10" s="23">
        <v>2</v>
      </c>
    </row>
    <row r="11" spans="2:4" x14ac:dyDescent="0.25">
      <c r="B11" t="s">
        <v>544</v>
      </c>
      <c r="C11" s="23">
        <v>1</v>
      </c>
    </row>
    <row r="12" spans="2:4" x14ac:dyDescent="0.25">
      <c r="B12" t="s">
        <v>551</v>
      </c>
      <c r="C12" s="23">
        <v>3</v>
      </c>
    </row>
    <row r="13" spans="2:4" x14ac:dyDescent="0.25">
      <c r="B13" t="s">
        <v>546</v>
      </c>
      <c r="C13" s="23">
        <v>1</v>
      </c>
    </row>
    <row r="14" spans="2:4" x14ac:dyDescent="0.25">
      <c r="B14" t="s">
        <v>549</v>
      </c>
      <c r="C14" s="23">
        <v>3</v>
      </c>
    </row>
    <row r="15" spans="2:4" x14ac:dyDescent="0.25">
      <c r="B15" t="s">
        <v>550</v>
      </c>
      <c r="C15" s="23">
        <f>SUM(C5:C14)</f>
        <v>16</v>
      </c>
    </row>
    <row r="18" spans="2:4" ht="18.75" x14ac:dyDescent="0.3">
      <c r="B18" s="8" t="s">
        <v>575</v>
      </c>
    </row>
    <row r="19" spans="2:4" x14ac:dyDescent="0.25">
      <c r="B19" t="s">
        <v>538</v>
      </c>
      <c r="C19" t="s">
        <v>548</v>
      </c>
      <c r="D19" t="s">
        <v>1</v>
      </c>
    </row>
    <row r="20" spans="2:4" x14ac:dyDescent="0.25">
      <c r="B20" t="s">
        <v>553</v>
      </c>
      <c r="C20" s="23">
        <v>4</v>
      </c>
      <c r="D20" t="s">
        <v>547</v>
      </c>
    </row>
    <row r="21" spans="2:4" x14ac:dyDescent="0.25">
      <c r="B21" t="s">
        <v>551</v>
      </c>
      <c r="C21" s="23">
        <v>3</v>
      </c>
    </row>
    <row r="22" spans="2:4" x14ac:dyDescent="0.25">
      <c r="B22" t="s">
        <v>552</v>
      </c>
      <c r="C22" s="23">
        <v>2</v>
      </c>
    </row>
    <row r="23" spans="2:4" x14ac:dyDescent="0.25">
      <c r="B23" t="s">
        <v>550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576</v>
      </c>
      <c r="C27" s="23"/>
    </row>
    <row r="28" spans="2:4" x14ac:dyDescent="0.25">
      <c r="B28" t="s">
        <v>538</v>
      </c>
      <c r="C28" t="s">
        <v>548</v>
      </c>
      <c r="D28" t="s">
        <v>1</v>
      </c>
    </row>
    <row r="29" spans="2:4" x14ac:dyDescent="0.25">
      <c r="B29" t="s">
        <v>553</v>
      </c>
      <c r="C29" s="23">
        <v>4</v>
      </c>
      <c r="D29" t="s">
        <v>547</v>
      </c>
    </row>
    <row r="30" spans="2:4" x14ac:dyDescent="0.25">
      <c r="B30" t="s">
        <v>551</v>
      </c>
      <c r="C30" s="23">
        <v>3</v>
      </c>
    </row>
    <row r="31" spans="2:4" x14ac:dyDescent="0.25">
      <c r="B31" t="s">
        <v>552</v>
      </c>
      <c r="C31" s="23">
        <v>2</v>
      </c>
    </row>
    <row r="32" spans="2:4" x14ac:dyDescent="0.25">
      <c r="B32" t="s">
        <v>550</v>
      </c>
      <c r="C32" s="23">
        <f>SUM(C29:C31)</f>
        <v>9</v>
      </c>
    </row>
    <row r="35" spans="2:4" ht="18.75" x14ac:dyDescent="0.3">
      <c r="B35" s="8" t="s">
        <v>577</v>
      </c>
      <c r="C35" s="23"/>
    </row>
    <row r="36" spans="2:4" x14ac:dyDescent="0.25">
      <c r="B36" t="s">
        <v>538</v>
      </c>
      <c r="C36" t="s">
        <v>548</v>
      </c>
      <c r="D36" t="s">
        <v>1</v>
      </c>
    </row>
    <row r="37" spans="2:4" x14ac:dyDescent="0.25">
      <c r="B37" t="s">
        <v>553</v>
      </c>
      <c r="C37" s="23">
        <v>4</v>
      </c>
      <c r="D37" t="s">
        <v>547</v>
      </c>
    </row>
    <row r="38" spans="2:4" x14ac:dyDescent="0.25">
      <c r="B38" t="s">
        <v>551</v>
      </c>
      <c r="C38" s="23">
        <v>3</v>
      </c>
    </row>
    <row r="39" spans="2:4" x14ac:dyDescent="0.25">
      <c r="B39" t="s">
        <v>552</v>
      </c>
      <c r="C39" s="23">
        <v>2</v>
      </c>
    </row>
    <row r="40" spans="2:4" x14ac:dyDescent="0.25">
      <c r="B40" t="s">
        <v>550</v>
      </c>
      <c r="C40" s="23">
        <f>SUM(C37:C39)</f>
        <v>9</v>
      </c>
    </row>
    <row r="43" spans="2:4" ht="18.75" x14ac:dyDescent="0.3">
      <c r="B43" s="8" t="s">
        <v>578</v>
      </c>
      <c r="C43" s="23"/>
    </row>
    <row r="44" spans="2:4" x14ac:dyDescent="0.25">
      <c r="B44" t="s">
        <v>538</v>
      </c>
      <c r="C44" t="s">
        <v>548</v>
      </c>
      <c r="D44" t="s">
        <v>1</v>
      </c>
    </row>
    <row r="45" spans="2:4" x14ac:dyDescent="0.25">
      <c r="B45" t="s">
        <v>555</v>
      </c>
      <c r="C45" s="23">
        <v>2</v>
      </c>
      <c r="D45" t="s">
        <v>557</v>
      </c>
    </row>
    <row r="46" spans="2:4" x14ac:dyDescent="0.25">
      <c r="B46" t="s">
        <v>554</v>
      </c>
      <c r="C46" s="23">
        <v>1</v>
      </c>
      <c r="D46" t="s">
        <v>558</v>
      </c>
    </row>
    <row r="47" spans="2:4" x14ac:dyDescent="0.25">
      <c r="B47" t="s">
        <v>556</v>
      </c>
      <c r="C47" s="23">
        <v>2</v>
      </c>
      <c r="D47" t="s">
        <v>558</v>
      </c>
    </row>
    <row r="48" spans="2:4" x14ac:dyDescent="0.25">
      <c r="B48" t="s">
        <v>550</v>
      </c>
      <c r="C48" s="23">
        <f>SUM(C45:C47)</f>
        <v>5</v>
      </c>
    </row>
    <row r="51" spans="2:4" ht="18.75" x14ac:dyDescent="0.3">
      <c r="B51" s="8" t="s">
        <v>579</v>
      </c>
      <c r="C51" s="23"/>
    </row>
    <row r="52" spans="2:4" x14ac:dyDescent="0.25">
      <c r="B52" t="s">
        <v>538</v>
      </c>
      <c r="C52" t="s">
        <v>548</v>
      </c>
      <c r="D52" t="s">
        <v>1</v>
      </c>
    </row>
    <row r="53" spans="2:4" x14ac:dyDescent="0.25">
      <c r="B53" t="s">
        <v>559</v>
      </c>
      <c r="C53" s="23">
        <v>1</v>
      </c>
      <c r="D53" t="s">
        <v>557</v>
      </c>
    </row>
    <row r="54" spans="2:4" x14ac:dyDescent="0.25">
      <c r="B54" t="s">
        <v>560</v>
      </c>
      <c r="C54" s="23">
        <v>1</v>
      </c>
      <c r="D54" t="s">
        <v>558</v>
      </c>
    </row>
    <row r="55" spans="2:4" x14ac:dyDescent="0.25">
      <c r="B55" t="s">
        <v>550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580</v>
      </c>
      <c r="C58" s="23"/>
    </row>
    <row r="59" spans="2:4" x14ac:dyDescent="0.25">
      <c r="B59" t="s">
        <v>538</v>
      </c>
      <c r="C59" t="s">
        <v>548</v>
      </c>
      <c r="D59" t="s">
        <v>1</v>
      </c>
    </row>
    <row r="60" spans="2:4" x14ac:dyDescent="0.25">
      <c r="B60" t="s">
        <v>561</v>
      </c>
      <c r="C60" s="23">
        <v>2</v>
      </c>
      <c r="D60" t="s">
        <v>547</v>
      </c>
    </row>
    <row r="61" spans="2:4" x14ac:dyDescent="0.25">
      <c r="B61" t="s">
        <v>562</v>
      </c>
      <c r="C61" s="23">
        <v>2</v>
      </c>
    </row>
    <row r="62" spans="2:4" x14ac:dyDescent="0.25">
      <c r="B62" t="s">
        <v>563</v>
      </c>
      <c r="C62" s="23">
        <v>1</v>
      </c>
    </row>
    <row r="63" spans="2:4" x14ac:dyDescent="0.25">
      <c r="B63" t="s">
        <v>564</v>
      </c>
      <c r="C63" s="23">
        <v>1</v>
      </c>
      <c r="D63" t="s">
        <v>566</v>
      </c>
    </row>
    <row r="64" spans="2:4" x14ac:dyDescent="0.25">
      <c r="B64" t="s">
        <v>565</v>
      </c>
      <c r="C64" s="23">
        <v>1</v>
      </c>
      <c r="D64" t="s">
        <v>567</v>
      </c>
    </row>
    <row r="65" spans="2:4" x14ac:dyDescent="0.25">
      <c r="B65" t="s">
        <v>568</v>
      </c>
      <c r="C65" s="23"/>
      <c r="D65" t="s">
        <v>569</v>
      </c>
    </row>
    <row r="66" spans="2:4" x14ac:dyDescent="0.25">
      <c r="C66" s="23"/>
      <c r="D66" t="s">
        <v>572</v>
      </c>
    </row>
    <row r="67" spans="2:4" x14ac:dyDescent="0.25">
      <c r="C67" s="23"/>
    </row>
    <row r="68" spans="2:4" ht="18.75" x14ac:dyDescent="0.3">
      <c r="B68" s="8" t="s">
        <v>581</v>
      </c>
      <c r="C68" s="23"/>
    </row>
    <row r="69" spans="2:4" x14ac:dyDescent="0.25">
      <c r="B69" t="s">
        <v>538</v>
      </c>
      <c r="C69" t="s">
        <v>548</v>
      </c>
      <c r="D69" t="s">
        <v>1</v>
      </c>
    </row>
    <row r="70" spans="2:4" x14ac:dyDescent="0.25">
      <c r="B70" t="s">
        <v>570</v>
      </c>
      <c r="C70" s="23">
        <v>1</v>
      </c>
      <c r="D70" t="s">
        <v>547</v>
      </c>
    </row>
    <row r="71" spans="2:4" x14ac:dyDescent="0.25">
      <c r="B71" t="s">
        <v>571</v>
      </c>
      <c r="C71" s="23">
        <v>1</v>
      </c>
    </row>
    <row r="72" spans="2:4" x14ac:dyDescent="0.25">
      <c r="B72" t="s">
        <v>550</v>
      </c>
      <c r="C72" s="23">
        <f>SUM(C70:C71)</f>
        <v>2</v>
      </c>
    </row>
    <row r="75" spans="2:4" x14ac:dyDescent="0.25">
      <c r="B75" t="s">
        <v>582</v>
      </c>
    </row>
    <row r="76" spans="2:4" x14ac:dyDescent="0.25">
      <c r="B76" t="s">
        <v>583</v>
      </c>
    </row>
    <row r="77" spans="2:4" x14ac:dyDescent="0.25">
      <c r="B77" t="s">
        <v>584</v>
      </c>
    </row>
    <row r="78" spans="2:4" x14ac:dyDescent="0.25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586</v>
      </c>
    </row>
    <row r="4" spans="2:12" x14ac:dyDescent="0.25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 x14ac:dyDescent="0.25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608</v>
      </c>
    </row>
    <row r="22" spans="2:12" x14ac:dyDescent="0.25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 x14ac:dyDescent="0.25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25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624</v>
      </c>
      <c r="F3" s="43" t="s">
        <v>640</v>
      </c>
    </row>
    <row r="4" spans="2:6" x14ac:dyDescent="0.25">
      <c r="B4" s="44"/>
      <c r="F4" s="49" t="s">
        <v>641</v>
      </c>
    </row>
    <row r="5" spans="2:6" ht="129.75" customHeight="1" x14ac:dyDescent="0.25">
      <c r="B5" s="43" t="s">
        <v>625</v>
      </c>
      <c r="F5" s="50" t="s">
        <v>642</v>
      </c>
    </row>
    <row r="6" spans="2:6" ht="15.75" x14ac:dyDescent="0.25">
      <c r="B6" s="44"/>
      <c r="F6" s="46" t="s">
        <v>643</v>
      </c>
    </row>
    <row r="7" spans="2:6" ht="44.25" customHeight="1" x14ac:dyDescent="0.25">
      <c r="B7" s="45" t="s">
        <v>626</v>
      </c>
      <c r="F7" s="46" t="s">
        <v>644</v>
      </c>
    </row>
    <row r="8" spans="2:6" ht="122.25" customHeight="1" x14ac:dyDescent="0.25">
      <c r="B8" s="43" t="s">
        <v>627</v>
      </c>
      <c r="F8" s="46" t="s">
        <v>645</v>
      </c>
    </row>
    <row r="9" spans="2:6" x14ac:dyDescent="0.25">
      <c r="B9" s="44" t="s">
        <v>628</v>
      </c>
      <c r="F9" s="51" t="s">
        <v>646</v>
      </c>
    </row>
    <row r="10" spans="2:6" ht="41.25" customHeight="1" x14ac:dyDescent="0.25">
      <c r="B10" s="46" t="s">
        <v>629</v>
      </c>
      <c r="F10" s="43" t="s">
        <v>647</v>
      </c>
    </row>
    <row r="11" spans="2:6" ht="50.25" customHeight="1" x14ac:dyDescent="0.25">
      <c r="B11" s="46" t="s">
        <v>630</v>
      </c>
    </row>
    <row r="12" spans="2:6" ht="31.5" x14ac:dyDescent="0.25">
      <c r="B12" s="46" t="s">
        <v>631</v>
      </c>
    </row>
    <row r="13" spans="2:6" ht="15.75" x14ac:dyDescent="0.25">
      <c r="B13" s="46" t="s">
        <v>632</v>
      </c>
    </row>
    <row r="14" spans="2:6" ht="72" customHeight="1" x14ac:dyDescent="0.25">
      <c r="B14" s="47" t="s">
        <v>633</v>
      </c>
    </row>
    <row r="15" spans="2:6" ht="133.5" customHeight="1" x14ac:dyDescent="0.25">
      <c r="B15" s="47" t="s">
        <v>634</v>
      </c>
    </row>
    <row r="16" spans="2:6" x14ac:dyDescent="0.25">
      <c r="B16" s="48" t="s">
        <v>635</v>
      </c>
    </row>
    <row r="17" spans="2:2" ht="44.25" customHeight="1" x14ac:dyDescent="0.25">
      <c r="B17" s="45" t="s">
        <v>636</v>
      </c>
    </row>
    <row r="18" spans="2:2" ht="161.25" customHeight="1" x14ac:dyDescent="0.25">
      <c r="B18" s="46" t="s">
        <v>637</v>
      </c>
    </row>
    <row r="19" spans="2:2" ht="105.75" customHeight="1" x14ac:dyDescent="0.25">
      <c r="B19" s="46" t="s">
        <v>638</v>
      </c>
    </row>
    <row r="20" spans="2:2" ht="144" customHeight="1" x14ac:dyDescent="0.25">
      <c r="B20" s="46" t="s">
        <v>639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689</v>
      </c>
      <c r="C3" t="s">
        <v>697</v>
      </c>
      <c r="D3" t="s">
        <v>1</v>
      </c>
    </row>
    <row r="4" spans="2:6" x14ac:dyDescent="0.25">
      <c r="B4" t="s">
        <v>690</v>
      </c>
      <c r="C4">
        <v>25</v>
      </c>
      <c r="D4" t="s">
        <v>701</v>
      </c>
    </row>
    <row r="5" spans="2:6" x14ac:dyDescent="0.25">
      <c r="B5" t="s">
        <v>691</v>
      </c>
      <c r="C5">
        <v>3</v>
      </c>
      <c r="D5" t="s">
        <v>692</v>
      </c>
    </row>
    <row r="6" spans="2:6" x14ac:dyDescent="0.25">
      <c r="B6" t="s">
        <v>693</v>
      </c>
      <c r="C6" t="s">
        <v>694</v>
      </c>
      <c r="D6" t="s">
        <v>709</v>
      </c>
    </row>
    <row r="7" spans="2:6" x14ac:dyDescent="0.25">
      <c r="B7" t="s">
        <v>695</v>
      </c>
      <c r="C7" t="s">
        <v>696</v>
      </c>
      <c r="D7" t="s">
        <v>700</v>
      </c>
    </row>
    <row r="8" spans="2:6" x14ac:dyDescent="0.25">
      <c r="B8" t="s">
        <v>695</v>
      </c>
      <c r="C8" t="s">
        <v>698</v>
      </c>
      <c r="D8" t="s">
        <v>699</v>
      </c>
    </row>
    <row r="14" spans="2:6" x14ac:dyDescent="0.25">
      <c r="B14" t="s">
        <v>703</v>
      </c>
      <c r="C14" t="s">
        <v>704</v>
      </c>
      <c r="D14" t="s">
        <v>705</v>
      </c>
      <c r="E14" t="s">
        <v>706</v>
      </c>
      <c r="F14" t="s">
        <v>707</v>
      </c>
    </row>
    <row r="15" spans="2:6" x14ac:dyDescent="0.25">
      <c r="B15" t="s">
        <v>702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690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691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708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zip</cp:lastModifiedBy>
  <dcterms:created xsi:type="dcterms:W3CDTF">2024-02-26T07:15:52Z</dcterms:created>
  <dcterms:modified xsi:type="dcterms:W3CDTF">2026-06-15T17:34:38Z</dcterms:modified>
</cp:coreProperties>
</file>