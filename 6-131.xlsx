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6-131\"/>
    </mc:Choice>
  </mc:AlternateContent>
  <bookViews>
    <workbookView xWindow="0" yWindow="0" windowWidth="25320" windowHeight="8145" firstSheet="3" activeTab="9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</sheets>
  <calcPr calcId="152511"/>
</workbook>
</file>

<file path=xl/calcChain.xml><?xml version="1.0" encoding="utf-8"?>
<calcChain xmlns="http://schemas.openxmlformats.org/spreadsheetml/2006/main">
  <c r="C72" i="12" l="1"/>
  <c r="C55" i="12"/>
  <c r="C48" i="12"/>
  <c r="C40" i="12"/>
  <c r="C32" i="12"/>
  <c r="C23" i="12"/>
  <c r="C15" i="12"/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323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<sst xmlns="http://schemas.openxmlformats.org/spreadsheetml/2006/main" count="943" uniqueCount="613">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</sst>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24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3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</cellXfs>
  <cellStyles count="2">
    <cellStyle name="Гиперссылка" xfId="1" builtinId="8"/>
    <cellStyle name="Обычный" xfId="0" builtinId="0"/>
  </cellStyles>
  <dxfs count="35"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9" formatCode="dd/mm/yyyy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4" name="Таблица4" displayName="Таблица4" ref="B5:F323" totalsRowCount="1">
  <autoFilter ref="B5:F322"/>
  <tableColumns count="5">
    <tableColumn id="1" name="№ п/п"/>
    <tableColumn id="2" name="Наименование "/>
    <tableColumn id="3" name="Цена (руб)" totalsRowFunction="sum" dataDxfId="34" totalsRowDxfId="14"/>
    <tableColumn id="4" name="Примечание"/>
    <tableColumn id="5" name="дата" dataDxfId="33" totalsRowDxfId="1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12"/>
    <tableColumn id="2" name="Тип" totalsRowDxfId="11"/>
    <tableColumn id="3" name="Количество (М3/шт)" totalsRowDxfId="10"/>
    <tableColumn id="4" name="Цена  (м3 или штук)" dataDxfId="32" totalsRowDxfId="9"/>
    <tableColumn id="5" name="Сумма" totalsRowFunction="custom" dataDxfId="31" totalsRowDxfId="8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7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6"/>
    <tableColumn id="6" name="Dekraft" dataDxfId="5"/>
    <tableColumn id="7" name="EKF" dataDxfId="4"/>
    <tableColumn id="8" name="TDM electric" dataDxfId="3"/>
    <tableColumn id="9" name="IEK" dataDxfId="2"/>
    <tableColumn id="10" name="Спец 800вт" dataDxfId="1"/>
    <tableColumn id="11" name="Etimat" dataDxfId="0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323"/>
  <sheetViews>
    <sheetView topLeftCell="A288" workbookViewId="0">
      <selection activeCell="H318" sqref="H318"/>
    </sheetView>
  </sheetViews>
  <sheetFormatPr defaultRowHeight="15" x14ac:dyDescent="0.25"/>
  <cols>
    <col min="3" max="3" width="72.5703125" customWidth="1"/>
    <col min="4" max="4" width="22.5703125" customWidth="1"/>
    <col min="5" max="5" width="80.85546875" customWidth="1"/>
    <col min="6" max="6" width="1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521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522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523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524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525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526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527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528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529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530</v>
      </c>
      <c r="D312" s="7">
        <v>2100</v>
      </c>
      <c r="E312" t="s">
        <v>533</v>
      </c>
      <c r="F312" s="20">
        <v>46001</v>
      </c>
    </row>
    <row r="313" spans="3:6" x14ac:dyDescent="0.25">
      <c r="C313" t="s">
        <v>531</v>
      </c>
      <c r="D313" s="7">
        <v>380</v>
      </c>
      <c r="E313" t="s">
        <v>534</v>
      </c>
      <c r="F313" s="20">
        <v>46001</v>
      </c>
    </row>
    <row r="314" spans="3:6" x14ac:dyDescent="0.25">
      <c r="C314" t="s">
        <v>532</v>
      </c>
      <c r="D314" s="7">
        <v>220</v>
      </c>
      <c r="E314" t="s">
        <v>535</v>
      </c>
      <c r="F314" s="20">
        <v>46001</v>
      </c>
    </row>
    <row r="315" spans="3:6" x14ac:dyDescent="0.25">
      <c r="C315" s="18" t="s">
        <v>536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537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538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539</v>
      </c>
      <c r="D318" s="7">
        <v>550.80999999999995</v>
      </c>
      <c r="E318" t="s">
        <v>540</v>
      </c>
      <c r="F318" s="9">
        <v>46014</v>
      </c>
    </row>
    <row r="319" spans="3:6" x14ac:dyDescent="0.25">
      <c r="D319" s="7"/>
      <c r="F319" s="9"/>
    </row>
    <row r="320" spans="3:6" x14ac:dyDescent="0.25">
      <c r="D320" s="7"/>
      <c r="F320" s="9"/>
    </row>
    <row r="321" spans="4:6" x14ac:dyDescent="0.25">
      <c r="D321" s="7"/>
      <c r="F321" s="9"/>
    </row>
    <row r="322" spans="4:6" x14ac:dyDescent="0.25">
      <c r="D322" s="7"/>
      <c r="F322" s="9"/>
    </row>
    <row r="323" spans="4:6" x14ac:dyDescent="0.25">
      <c r="D323" s="7">
        <f>SUBTOTAL(109,Таблица4[Цена (руб)])</f>
        <v>3986173.8900000011</v>
      </c>
      <c r="F323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I15" sqref="I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J14" sqref="J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F37" sqref="F37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52" workbookViewId="0">
      <selection activeCell="B78" sqref="B78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577</v>
      </c>
    </row>
    <row r="4" spans="2:4" x14ac:dyDescent="0.25">
      <c r="B4" t="s">
        <v>541</v>
      </c>
      <c r="C4" t="s">
        <v>576</v>
      </c>
      <c r="D4" t="s">
        <v>1</v>
      </c>
    </row>
    <row r="5" spans="2:4" x14ac:dyDescent="0.25">
      <c r="B5" t="s">
        <v>542</v>
      </c>
      <c r="C5" s="23">
        <v>2</v>
      </c>
      <c r="D5" t="s">
        <v>550</v>
      </c>
    </row>
    <row r="6" spans="2:4" x14ac:dyDescent="0.25">
      <c r="B6" t="s">
        <v>544</v>
      </c>
      <c r="C6" s="23">
        <v>1</v>
      </c>
    </row>
    <row r="7" spans="2:4" x14ac:dyDescent="0.25">
      <c r="B7" t="s">
        <v>543</v>
      </c>
      <c r="C7" s="23">
        <v>1</v>
      </c>
    </row>
    <row r="8" spans="2:4" x14ac:dyDescent="0.25">
      <c r="B8" t="s">
        <v>545</v>
      </c>
      <c r="C8" s="23">
        <v>1</v>
      </c>
    </row>
    <row r="9" spans="2:4" x14ac:dyDescent="0.25">
      <c r="B9" t="s">
        <v>548</v>
      </c>
      <c r="C9" s="23">
        <v>2</v>
      </c>
    </row>
    <row r="10" spans="2:4" x14ac:dyDescent="0.25">
      <c r="B10" t="s">
        <v>546</v>
      </c>
      <c r="C10" s="23">
        <v>3</v>
      </c>
    </row>
    <row r="11" spans="2:4" x14ac:dyDescent="0.25">
      <c r="B11" t="s">
        <v>547</v>
      </c>
      <c r="C11" s="23">
        <v>1</v>
      </c>
    </row>
    <row r="12" spans="2:4" x14ac:dyDescent="0.25">
      <c r="B12" t="s">
        <v>554</v>
      </c>
      <c r="C12" s="23">
        <v>3</v>
      </c>
    </row>
    <row r="13" spans="2:4" x14ac:dyDescent="0.25">
      <c r="B13" t="s">
        <v>549</v>
      </c>
      <c r="C13" s="23">
        <v>1</v>
      </c>
    </row>
    <row r="14" spans="2:4" x14ac:dyDescent="0.25">
      <c r="B14" t="s">
        <v>552</v>
      </c>
      <c r="C14" s="23">
        <v>3</v>
      </c>
    </row>
    <row r="15" spans="2:4" x14ac:dyDescent="0.25">
      <c r="B15" t="s">
        <v>553</v>
      </c>
      <c r="C15" s="23">
        <f>SUM(C5:C14)</f>
        <v>18</v>
      </c>
    </row>
    <row r="18" spans="2:4" ht="18.75" x14ac:dyDescent="0.3">
      <c r="B18" s="8" t="s">
        <v>578</v>
      </c>
    </row>
    <row r="19" spans="2:4" x14ac:dyDescent="0.25">
      <c r="B19" t="s">
        <v>541</v>
      </c>
      <c r="C19" t="s">
        <v>551</v>
      </c>
      <c r="D19" t="s">
        <v>1</v>
      </c>
    </row>
    <row r="20" spans="2:4" x14ac:dyDescent="0.25">
      <c r="B20" t="s">
        <v>556</v>
      </c>
      <c r="C20" s="23">
        <v>4</v>
      </c>
      <c r="D20" t="s">
        <v>550</v>
      </c>
    </row>
    <row r="21" spans="2:4" x14ac:dyDescent="0.25">
      <c r="B21" t="s">
        <v>554</v>
      </c>
      <c r="C21" s="23">
        <v>3</v>
      </c>
    </row>
    <row r="22" spans="2:4" x14ac:dyDescent="0.25">
      <c r="B22" t="s">
        <v>555</v>
      </c>
      <c r="C22" s="23">
        <v>2</v>
      </c>
    </row>
    <row r="23" spans="2:4" x14ac:dyDescent="0.25">
      <c r="B23" t="s">
        <v>553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579</v>
      </c>
      <c r="C27" s="23"/>
    </row>
    <row r="28" spans="2:4" x14ac:dyDescent="0.25">
      <c r="B28" t="s">
        <v>541</v>
      </c>
      <c r="C28" t="s">
        <v>551</v>
      </c>
      <c r="D28" t="s">
        <v>1</v>
      </c>
    </row>
    <row r="29" spans="2:4" x14ac:dyDescent="0.25">
      <c r="B29" t="s">
        <v>556</v>
      </c>
      <c r="C29" s="23">
        <v>4</v>
      </c>
      <c r="D29" t="s">
        <v>550</v>
      </c>
    </row>
    <row r="30" spans="2:4" x14ac:dyDescent="0.25">
      <c r="B30" t="s">
        <v>554</v>
      </c>
      <c r="C30" s="23">
        <v>3</v>
      </c>
    </row>
    <row r="31" spans="2:4" x14ac:dyDescent="0.25">
      <c r="B31" t="s">
        <v>555</v>
      </c>
      <c r="C31" s="23">
        <v>2</v>
      </c>
    </row>
    <row r="32" spans="2:4" x14ac:dyDescent="0.25">
      <c r="B32" t="s">
        <v>553</v>
      </c>
      <c r="C32" s="23">
        <f>SUM(C29:C31)</f>
        <v>9</v>
      </c>
    </row>
    <row r="35" spans="2:4" ht="18.75" x14ac:dyDescent="0.3">
      <c r="B35" s="8" t="s">
        <v>580</v>
      </c>
      <c r="C35" s="23"/>
    </row>
    <row r="36" spans="2:4" x14ac:dyDescent="0.25">
      <c r="B36" t="s">
        <v>541</v>
      </c>
      <c r="C36" t="s">
        <v>551</v>
      </c>
      <c r="D36" t="s">
        <v>1</v>
      </c>
    </row>
    <row r="37" spans="2:4" x14ac:dyDescent="0.25">
      <c r="B37" t="s">
        <v>556</v>
      </c>
      <c r="C37" s="23">
        <v>4</v>
      </c>
      <c r="D37" t="s">
        <v>550</v>
      </c>
    </row>
    <row r="38" spans="2:4" x14ac:dyDescent="0.25">
      <c r="B38" t="s">
        <v>554</v>
      </c>
      <c r="C38" s="23">
        <v>3</v>
      </c>
    </row>
    <row r="39" spans="2:4" x14ac:dyDescent="0.25">
      <c r="B39" t="s">
        <v>555</v>
      </c>
      <c r="C39" s="23">
        <v>2</v>
      </c>
    </row>
    <row r="40" spans="2:4" x14ac:dyDescent="0.25">
      <c r="B40" t="s">
        <v>553</v>
      </c>
      <c r="C40" s="23">
        <f>SUM(C37:C39)</f>
        <v>9</v>
      </c>
    </row>
    <row r="43" spans="2:4" ht="18.75" x14ac:dyDescent="0.3">
      <c r="B43" s="8" t="s">
        <v>581</v>
      </c>
      <c r="C43" s="23"/>
    </row>
    <row r="44" spans="2:4" x14ac:dyDescent="0.25">
      <c r="B44" t="s">
        <v>541</v>
      </c>
      <c r="C44" t="s">
        <v>551</v>
      </c>
      <c r="D44" t="s">
        <v>1</v>
      </c>
    </row>
    <row r="45" spans="2:4" x14ac:dyDescent="0.25">
      <c r="B45" t="s">
        <v>558</v>
      </c>
      <c r="C45" s="23">
        <v>2</v>
      </c>
      <c r="D45" t="s">
        <v>560</v>
      </c>
    </row>
    <row r="46" spans="2:4" x14ac:dyDescent="0.25">
      <c r="B46" t="s">
        <v>557</v>
      </c>
      <c r="C46" s="23">
        <v>1</v>
      </c>
      <c r="D46" t="s">
        <v>561</v>
      </c>
    </row>
    <row r="47" spans="2:4" x14ac:dyDescent="0.25">
      <c r="B47" t="s">
        <v>559</v>
      </c>
      <c r="C47" s="23">
        <v>2</v>
      </c>
      <c r="D47" t="s">
        <v>561</v>
      </c>
    </row>
    <row r="48" spans="2:4" x14ac:dyDescent="0.25">
      <c r="B48" t="s">
        <v>553</v>
      </c>
      <c r="C48" s="23">
        <f>SUM(C45:C47)</f>
        <v>5</v>
      </c>
    </row>
    <row r="51" spans="2:4" ht="18.75" x14ac:dyDescent="0.3">
      <c r="B51" s="8" t="s">
        <v>582</v>
      </c>
      <c r="C51" s="23"/>
    </row>
    <row r="52" spans="2:4" x14ac:dyDescent="0.25">
      <c r="B52" t="s">
        <v>541</v>
      </c>
      <c r="C52" t="s">
        <v>551</v>
      </c>
      <c r="D52" t="s">
        <v>1</v>
      </c>
    </row>
    <row r="53" spans="2:4" x14ac:dyDescent="0.25">
      <c r="B53" t="s">
        <v>562</v>
      </c>
      <c r="C53" s="23">
        <v>1</v>
      </c>
      <c r="D53" t="s">
        <v>560</v>
      </c>
    </row>
    <row r="54" spans="2:4" x14ac:dyDescent="0.25">
      <c r="B54" t="s">
        <v>563</v>
      </c>
      <c r="C54" s="23">
        <v>1</v>
      </c>
      <c r="D54" t="s">
        <v>561</v>
      </c>
    </row>
    <row r="55" spans="2:4" x14ac:dyDescent="0.25">
      <c r="B55" t="s">
        <v>553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583</v>
      </c>
      <c r="C58" s="23"/>
    </row>
    <row r="59" spans="2:4" x14ac:dyDescent="0.25">
      <c r="B59" t="s">
        <v>541</v>
      </c>
      <c r="C59" t="s">
        <v>551</v>
      </c>
      <c r="D59" t="s">
        <v>1</v>
      </c>
    </row>
    <row r="60" spans="2:4" x14ac:dyDescent="0.25">
      <c r="B60" t="s">
        <v>564</v>
      </c>
      <c r="C60" s="23">
        <v>2</v>
      </c>
      <c r="D60" t="s">
        <v>550</v>
      </c>
    </row>
    <row r="61" spans="2:4" x14ac:dyDescent="0.25">
      <c r="B61" t="s">
        <v>565</v>
      </c>
      <c r="C61" s="23">
        <v>2</v>
      </c>
    </row>
    <row r="62" spans="2:4" x14ac:dyDescent="0.25">
      <c r="B62" t="s">
        <v>566</v>
      </c>
      <c r="C62" s="23">
        <v>1</v>
      </c>
    </row>
    <row r="63" spans="2:4" x14ac:dyDescent="0.25">
      <c r="B63" t="s">
        <v>567</v>
      </c>
      <c r="C63" s="23">
        <v>1</v>
      </c>
      <c r="D63" t="s">
        <v>569</v>
      </c>
    </row>
    <row r="64" spans="2:4" x14ac:dyDescent="0.25">
      <c r="B64" t="s">
        <v>568</v>
      </c>
      <c r="C64" s="23">
        <v>1</v>
      </c>
      <c r="D64" t="s">
        <v>570</v>
      </c>
    </row>
    <row r="65" spans="2:4" x14ac:dyDescent="0.25">
      <c r="B65" t="s">
        <v>571</v>
      </c>
      <c r="C65" s="23"/>
      <c r="D65" t="s">
        <v>572</v>
      </c>
    </row>
    <row r="66" spans="2:4" x14ac:dyDescent="0.25">
      <c r="C66" s="23"/>
      <c r="D66" t="s">
        <v>575</v>
      </c>
    </row>
    <row r="67" spans="2:4" x14ac:dyDescent="0.25">
      <c r="C67" s="23"/>
    </row>
    <row r="68" spans="2:4" ht="18.75" x14ac:dyDescent="0.3">
      <c r="B68" s="8" t="s">
        <v>584</v>
      </c>
      <c r="C68" s="23"/>
    </row>
    <row r="69" spans="2:4" x14ac:dyDescent="0.25">
      <c r="B69" t="s">
        <v>541</v>
      </c>
      <c r="C69" t="s">
        <v>551</v>
      </c>
      <c r="D69" t="s">
        <v>1</v>
      </c>
    </row>
    <row r="70" spans="2:4" x14ac:dyDescent="0.25">
      <c r="B70" t="s">
        <v>573</v>
      </c>
      <c r="C70" s="23">
        <v>1</v>
      </c>
      <c r="D70" t="s">
        <v>550</v>
      </c>
    </row>
    <row r="71" spans="2:4" x14ac:dyDescent="0.25">
      <c r="B71" t="s">
        <v>574</v>
      </c>
      <c r="C71" s="23">
        <v>1</v>
      </c>
    </row>
    <row r="72" spans="2:4" x14ac:dyDescent="0.25">
      <c r="B72" t="s">
        <v>553</v>
      </c>
      <c r="C72" s="23">
        <f>SUM(C70:C71)</f>
        <v>2</v>
      </c>
    </row>
    <row r="75" spans="2:4" x14ac:dyDescent="0.25">
      <c r="B75" t="s">
        <v>585</v>
      </c>
    </row>
    <row r="76" spans="2:4" x14ac:dyDescent="0.25">
      <c r="B76" t="s">
        <v>586</v>
      </c>
    </row>
    <row r="77" spans="2:4" x14ac:dyDescent="0.25">
      <c r="B77" t="s">
        <v>587</v>
      </c>
    </row>
    <row r="78" spans="2:4" x14ac:dyDescent="0.25">
      <c r="B78" t="s">
        <v>588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tabSelected="1"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589</v>
      </c>
    </row>
    <row r="4" spans="2:12" x14ac:dyDescent="0.25">
      <c r="B4" s="11" t="s">
        <v>590</v>
      </c>
      <c r="C4" t="s">
        <v>597</v>
      </c>
      <c r="E4" s="11" t="s">
        <v>590</v>
      </c>
      <c r="F4" t="s">
        <v>605</v>
      </c>
      <c r="G4" t="s">
        <v>606</v>
      </c>
      <c r="H4" t="s">
        <v>607</v>
      </c>
      <c r="I4" t="s">
        <v>608</v>
      </c>
      <c r="J4" t="s">
        <v>609</v>
      </c>
      <c r="K4" t="s">
        <v>610</v>
      </c>
      <c r="L4" t="s">
        <v>604</v>
      </c>
    </row>
    <row r="5" spans="2:12" x14ac:dyDescent="0.25">
      <c r="B5" t="s">
        <v>591</v>
      </c>
      <c r="C5" s="7">
        <v>2790</v>
      </c>
      <c r="D5" s="7"/>
      <c r="E5" t="s">
        <v>591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592</v>
      </c>
      <c r="C6" s="7">
        <v>2890</v>
      </c>
      <c r="D6" s="7"/>
      <c r="E6" t="s">
        <v>592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593</v>
      </c>
      <c r="C7" s="7">
        <v>1390</v>
      </c>
      <c r="D7" s="7"/>
      <c r="E7" t="s">
        <v>593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594</v>
      </c>
      <c r="C8" s="7">
        <v>339</v>
      </c>
      <c r="D8" s="7"/>
      <c r="E8" t="s">
        <v>594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595</v>
      </c>
      <c r="C9" s="7">
        <v>5190</v>
      </c>
      <c r="D9" s="7"/>
      <c r="E9" t="s">
        <v>595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596</v>
      </c>
      <c r="C10" s="7">
        <v>329</v>
      </c>
      <c r="D10" s="7"/>
      <c r="E10" t="s">
        <v>596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598</v>
      </c>
      <c r="C11" s="7"/>
      <c r="D11" s="7"/>
      <c r="E11" t="s">
        <v>598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599</v>
      </c>
      <c r="C12" s="7">
        <v>125</v>
      </c>
      <c r="D12" s="7"/>
      <c r="E12" t="s">
        <v>599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600</v>
      </c>
      <c r="C13" s="7">
        <v>299</v>
      </c>
      <c r="D13" s="7"/>
      <c r="E13" t="s">
        <v>600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601</v>
      </c>
      <c r="C15" s="7">
        <v>3190</v>
      </c>
      <c r="D15" s="7"/>
      <c r="E15" t="s">
        <v>601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602</v>
      </c>
      <c r="C16" s="7">
        <v>1790</v>
      </c>
      <c r="D16" s="7"/>
      <c r="E16" t="s">
        <v>602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603</v>
      </c>
      <c r="C17" s="7">
        <v>109</v>
      </c>
      <c r="D17" s="7"/>
      <c r="E17" t="s">
        <v>603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611</v>
      </c>
    </row>
    <row r="22" spans="2:12" x14ac:dyDescent="0.25">
      <c r="B22" s="11"/>
      <c r="E22" s="11" t="s">
        <v>590</v>
      </c>
      <c r="F22" t="s">
        <v>605</v>
      </c>
      <c r="G22" t="s">
        <v>606</v>
      </c>
      <c r="H22" t="s">
        <v>607</v>
      </c>
      <c r="I22" t="s">
        <v>608</v>
      </c>
      <c r="J22" t="s">
        <v>609</v>
      </c>
      <c r="K22" t="s">
        <v>610</v>
      </c>
      <c r="L22" t="s">
        <v>612</v>
      </c>
    </row>
    <row r="23" spans="2:12" x14ac:dyDescent="0.25">
      <c r="C23" s="7"/>
      <c r="E23" t="s">
        <v>591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592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593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594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595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596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598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599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600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601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602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603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2026-02-13T15:10:03Z</dcterms:modified>
</cp:coreProperties>
</file>