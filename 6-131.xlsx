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6-131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  <sheet name="Розетки и освещение" sheetId="12" r:id="rId9"/>
    <sheet name="сравнение цен на 13_02_26" sheetId="13" r:id="rId10"/>
  </sheets>
  <calcPr calcId="152511"/>
</workbook>
</file>

<file path=xl/calcChain.xml><?xml version="1.0" encoding="utf-8"?>
<calcChain xmlns="http://schemas.openxmlformats.org/spreadsheetml/2006/main">
  <c r="C72" i="12" l="1"/>
  <c r="C55" i="12"/>
  <c r="C48" i="12"/>
  <c r="C40" i="12"/>
  <c r="C32" i="12"/>
  <c r="C23" i="12"/>
  <c r="C15" i="12"/>
  <c r="H14" i="11" l="1"/>
  <c r="I3" i="11"/>
  <c r="G10" i="11"/>
  <c r="C16" i="10" l="1"/>
  <c r="C9" i="7" l="1"/>
  <c r="C8" i="7" s="1"/>
  <c r="H13" i="7" l="1"/>
  <c r="H8" i="7"/>
  <c r="H9" i="7" s="1"/>
  <c r="D8" i="9" l="1"/>
  <c r="D9" i="9" s="1"/>
  <c r="C8" i="9"/>
  <c r="C9" i="9" s="1"/>
  <c r="F22" i="8" l="1"/>
  <c r="B22" i="8"/>
  <c r="B10" i="8"/>
  <c r="F10" i="8"/>
  <c r="D343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<sst xmlns="http://schemas.openxmlformats.org/spreadsheetml/2006/main" count="949" uniqueCount="619">
  <si>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</si>
  <si>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</si>
  <si>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</si>
  <si>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</si>
  <si>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</si>
  <si>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</si>
  <si>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</si>
  <si>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</si>
  <si>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</si>
  <si>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</si>
  <si>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</si>
  <si>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</si>
  <si>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</si>
  <si>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</si>
  <si>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</si>
  <si>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</si>
  <si>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</si>
  <si>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</si>
  <si>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</si>
  <si>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</si>
  <si>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</si>
  <si>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</si>
  <si>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</si>
  <si>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</si>
  <si>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</si>
  <si>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</si>
  <si>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</si>
  <si>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</si>
  <si>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</si>
  <si>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</si>
  <si>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</si>
  <si>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</si>
  <si>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</si>
  <si>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</si>
  <si>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</si>
  <si>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</si>
  <si>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</si>
  <si>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</si>
  <si>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</si>
  <si>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</si>
  <si>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</si>
  <si>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</si>
  <si>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</si>
  <si>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</si>
  <si>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</si>
  <si>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</si>
  <si>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</si>
  <si>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</si>
  <si>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</si>
  <si>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</si>
  <si>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</si>
  <si>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</si>
  <si>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</si>
  <si>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</si>
  <si>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</si>
  <si>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</si>
  <si>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</si>
  <si>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</si>
  <si>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</si>
  <si>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</si>
  <si>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</si>
  <si>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</si>
  <si>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</si>
  <si>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</si>
  <si>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</si>
  <si>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</si>
  <si>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</si>
  <si>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</si>
  <si>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</si>
  <si>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</si>
  <si>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</si>
  <si>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</si>
  <si>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</si>
  <si>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</si>
  <si>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</si>
  <si>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</si>
  <si>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</si>
  <si>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</si>
  <si>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</si>
  <si>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</si>
  <si>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</si>
  <si>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</si>
  <si>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</si>
  <si>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</si>
  <si>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</si>
  <si>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</si>
  <si>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</si>
  <si>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</si>
  <si>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</si>
  <si>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</si>
  <si>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</si>
  <si>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</si>
  <si>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</si>
  <si>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</si>
  <si>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</si>
  <si>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</si>
  <si>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</si>
  <si>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</si>
  <si>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</si>
  <si>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</si>
  <si>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</si>
  <si>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</si>
  <si>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</si>
  <si>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</si>
  <si>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</si>
  <si>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</si>
  <si>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</si>
  <si>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</si>
  <si>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</si>
  <si>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</si>
  <si>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</si>
  <si>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</si>
  <si>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</si>
  <si>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</si>
  <si>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</si>
  <si>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</si>
  <si>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</si>
  <si>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</si>
  <si>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</si>
  <si>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</si>
  <si>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</si>
  <si>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</si>
  <si>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</si>
  <si>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</si>
  <si>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</si>
  <si>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</si>
  <si>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</si>
  <si>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</si>
  <si>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</si>
  <si>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</si>
  <si>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</si>
  <si>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</si>
  <si>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</si>
  <si>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</si>
  <si>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</si>
  <si>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</si>
  <si>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</si>
  <si>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</si>
  <si>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</si>
  <si>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</si>
  <si>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</si>
  <si>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</si>
  <si>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</si>
  <si>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</si>
  <si>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</si>
  <si>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</si>
  <si>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</si>
  <si>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</si>
  <si>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</si>
  <si>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</si>
  <si>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</si>
  <si>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</si>
  <si>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</si>
  <si>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</si>
  <si>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</si>
  <si>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</si>
  <si>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</si>
  <si>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</si>
  <si>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</si>
  <si>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</si>
  <si>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</si>
  <si>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</si>
  <si>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</si>
  <si>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</si>
  <si>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</si>
  <si>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</si>
  <si>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</si>
  <si>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</si>
  <si>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</si>
  <si>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</si>
  <si>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</si>
  <si>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</si>
  <si>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</si>
  <si>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</si>
  <si>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</si>
  <si>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</si>
  <si>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</si>
  <si>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</si>
  <si>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</si>
  <si>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</si>
  <si>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</si>
  <si>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</si>
  <si>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</si>
  <si>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</si>
  <si>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</si>
  <si>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</si>
  <si>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</si>
  <si>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</si>
  <si>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</si>
  <si>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</si>
  <si>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</si>
  <si>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</si>
  <si>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</si>
  <si>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</si>
  <si>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</si>
  <si>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</si>
  <si>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</si>
  <si>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</si>
  <si>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</si>
  <si>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</si>
  <si>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</si>
  <si>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</si>
  <si>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</si>
  <si>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</si>
  <si>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</si>
  <si>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</si>
  <si>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</si>
  <si>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</si>
  <si>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</si>
  <si>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</si>
  <si>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</si>
  <si>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</si>
  <si>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</si>
  <si>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</si>
  <si>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</si>
  <si>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</si>
  <si>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</si>
  <si>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</si>
  <si>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</si>
  <si>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</si>
  <si>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</si>
  <si>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</si>
  <si>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</si>
  <si>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</si>
  <si>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</si>
  <si>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</si>
  <si>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</si>
  <si>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</si>
  <si>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</si>
  <si>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</si>
  <si>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</si>
  <si>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</si>
  <si>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</si>
  <si>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</si>
  <si>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</si>
  <si>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</si>
  <si>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</si>
  <si>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</si>
  <si>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</si>
  <si>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</si>
  <si>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</si>
  <si>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</si>
  <si>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</si>
  <si>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</si>
  <si>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</si>
  <si>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</si>
  <si>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</si>
  <si>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</si>
  <si>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</si>
  <si>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</si>
  <si>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</si>
  <si>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</si>
  <si>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</si>
  <si>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</si>
  <si>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</si>
  <si>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</si>
  <si>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</si>
  <si>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</si>
  <si>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</si>
  <si>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</si>
  <si>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</si>
  <si>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</si>
  <si>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</si>
  <si>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</si>
  <si>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</si>
  <si>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</si>
  <si>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</si>
  <si>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</si>
  <si>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</si>
  <si>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</si>
  <si>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</si>
  <si>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</si>
  <si>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</si>
  <si>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</si>
  <si>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</si>
  <si>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</si>
  <si>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</si>
  <si>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</si>
  <si>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</si>
  <si>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</si>
  <si>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</si>
  <si>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</si>
  <si>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</si>
  <si>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</si>
  <si>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</si>
  <si>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</si>
  <si>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</si>
  <si>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</si>
  <si>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</si>
  <si>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</si>
  <si>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</si>
  <si>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</si>
  <si>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</si>
  <si>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</si>
  <si>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</si>
  <si>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</si>
  <si>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</si>
  <si>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</si>
  <si>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</si>
  <si>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</si>
  <si>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</si>
  <si>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</si>
  <si>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</si>
  <si>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</si>
  <si>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</si>
  <si>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</si>
  <si>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</si>
  <si>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</si>
  <si>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</si>
  <si>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</si>
  <si>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</si>
  <si>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</si>
  <si>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</si>
  <si>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</si>
  <si>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</si>
  <si>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</si>
  <si>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</si>
  <si>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</si>
  <si>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</si>
  <si>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</si>
  <si>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</si>
  <si>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</si>
  <si>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</si>
  <si>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</si>
  <si>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</si>
  <si>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</si>
  <si>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</si>
  <si>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</si>
  <si>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</si>
  <si>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</si>
  <si>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</si>
  <si>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</si>
  <si>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</si>
  <si>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</si>
  <si>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</si>
  <si>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</si>
  <si>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</si>
  <si>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</si>
  <si>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</si>
  <si>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</si>
  <si>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</si>
  <si>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</si>
  <si>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</si>
  <si>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</si>
  <si>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</si>
  <si>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</si>
  <si>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</si>
  <si>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</si>
  <si>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</si>
  <si>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</si>
  <si>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</si>
  <si>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</si>
  <si>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</si>
  <si>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</si>
  <si>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</si>
  <si>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</si>
  <si>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</si>
  <si>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</si>
  <si>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</si>
  <si>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</si>
  <si>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</si>
  <si>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</si>
  <si>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</si>
  <si>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</si>
  <si>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</si>
  <si>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</si>
  <si>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</si>
  <si>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</si>
  <si>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</si>
  <si>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</si>
  <si>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</si>
  <si>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</si>
  <si>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</si>
  <si>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</si>
  <si>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</si>
  <si>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</si>
  <si>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</si>
  <si>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</si>
  <si>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</si>
  <si>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</si>
  <si>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</si>
  <si>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</si>
  <si>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</si>
  <si>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</si>
  <si>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</si>
  <si>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</si>
  <si>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</si>
  <si>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</si>
  <si>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</si>
  <si>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</si>
  <si>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</si>
  <si>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</si>
  <si>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</si>
  <si>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100 мм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</si>
  <si>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</si>
  <si>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</si>
  <si>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</si>
  <si>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</si>
  <si>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полная высота стены (газобетон)</t>
  </si>
  <si>
    <t>850+230=1080мм</t>
  </si>
  <si>
    <t>100+50+15=165 (230-165 = 65мм разница между проектами)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</si>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</sst>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&quot;₽&quot;"/>
    <numFmt numFmtId="165" formatCode="#,##0.00\ &quot;р.&quot;"/>
  </numFmts>
  <fonts count="24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3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</cellXfs>
  <cellStyles count="2">
    <cellStyle name="Гиперссылка" xfId="1" builtinId="8"/>
    <cellStyle name="Обычный" xfId="0" builtinId="0"/>
  </cellStyles>
  <dxfs count="35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4" name="Таблица4" displayName="Таблица4" ref="B5:F343" totalsRowCount="1">
  <autoFilter ref="B5:F342"/>
  <tableColumns count="5">
    <tableColumn id="1" name="№ п/п"/>
    <tableColumn id="2" name="Наименование "/>
    <tableColumn id="3" name="Цена (руб)" totalsRowFunction="sum" dataDxfId="34" totalsRowDxfId="1"/>
    <tableColumn id="4" name="Примечание"/>
    <tableColumn id="5" name="дата" dataDxfId="33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1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19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343"/>
  <sheetViews>
    <sheetView tabSelected="1" topLeftCell="A307" workbookViewId="0">
      <selection activeCell="C328" sqref="C328"/>
    </sheetView>
  </sheetViews>
  <sheetFormatPr defaultRowHeight="15" x14ac:dyDescent="0.25"/>
  <cols>
    <col min="3" max="3" width="72.5703125" customWidth="1"/>
    <col min="4" max="4" width="22.5703125" customWidth="1"/>
    <col min="5" max="5" width="80.85546875" customWidth="1"/>
    <col min="6" max="6" width="1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406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407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408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409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410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411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412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413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414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415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416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417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418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418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420</v>
      </c>
      <c r="D231" s="7">
        <v>500</v>
      </c>
      <c r="E231" t="s">
        <v>419</v>
      </c>
      <c r="F231" s="9">
        <v>45844</v>
      </c>
    </row>
    <row r="232" spans="2:6" x14ac:dyDescent="0.25">
      <c r="B232">
        <v>228</v>
      </c>
      <c r="C232" t="s">
        <v>421</v>
      </c>
      <c r="D232" s="7">
        <v>6675</v>
      </c>
      <c r="E232" t="s">
        <v>422</v>
      </c>
      <c r="F232" s="9"/>
    </row>
    <row r="233" spans="2:6" x14ac:dyDescent="0.25">
      <c r="B233">
        <v>229</v>
      </c>
      <c r="C233" t="s">
        <v>423</v>
      </c>
      <c r="D233" s="7">
        <v>605</v>
      </c>
      <c r="E233" t="s">
        <v>173</v>
      </c>
      <c r="F233" s="9"/>
    </row>
    <row r="234" spans="2:6" x14ac:dyDescent="0.25">
      <c r="C234" t="s">
        <v>424</v>
      </c>
      <c r="D234" s="7">
        <v>1148</v>
      </c>
      <c r="E234" t="s">
        <v>173</v>
      </c>
      <c r="F234" s="9"/>
    </row>
    <row r="235" spans="2:6" x14ac:dyDescent="0.25">
      <c r="C235" s="42" t="s">
        <v>425</v>
      </c>
      <c r="D235" s="7">
        <v>153.61000000000001</v>
      </c>
      <c r="E235" t="s">
        <v>173</v>
      </c>
      <c r="F235" s="9"/>
    </row>
    <row r="236" spans="2:6" x14ac:dyDescent="0.25">
      <c r="C236" t="s">
        <v>426</v>
      </c>
      <c r="D236" s="7">
        <v>373.45</v>
      </c>
      <c r="E236" t="s">
        <v>173</v>
      </c>
      <c r="F236" s="9"/>
    </row>
    <row r="237" spans="2:6" x14ac:dyDescent="0.25">
      <c r="C237" s="42" t="s">
        <v>427</v>
      </c>
      <c r="D237" s="7">
        <v>1143</v>
      </c>
      <c r="E237" t="s">
        <v>173</v>
      </c>
      <c r="F237" s="9"/>
    </row>
    <row r="238" spans="2:6" x14ac:dyDescent="0.25">
      <c r="C238" s="42" t="s">
        <v>428</v>
      </c>
      <c r="D238" s="7">
        <v>1843</v>
      </c>
      <c r="E238" t="s">
        <v>173</v>
      </c>
      <c r="F238" s="9"/>
    </row>
    <row r="239" spans="2:6" x14ac:dyDescent="0.25">
      <c r="C239" t="s">
        <v>429</v>
      </c>
      <c r="D239" s="7">
        <v>1140</v>
      </c>
      <c r="E239" t="s">
        <v>173</v>
      </c>
      <c r="F239" s="9"/>
    </row>
    <row r="240" spans="2:6" x14ac:dyDescent="0.25">
      <c r="C240" s="18" t="s">
        <v>430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431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432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433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434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435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436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437</v>
      </c>
      <c r="D247" s="7">
        <v>881.91</v>
      </c>
      <c r="E247" t="s">
        <v>438</v>
      </c>
      <c r="F247" s="9">
        <v>45879</v>
      </c>
    </row>
    <row r="248" spans="3:6" x14ac:dyDescent="0.25">
      <c r="C248" t="s">
        <v>439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440</v>
      </c>
      <c r="D249" s="7">
        <v>785.56</v>
      </c>
      <c r="E249" t="s">
        <v>442</v>
      </c>
      <c r="F249" s="9">
        <v>45879</v>
      </c>
    </row>
    <row r="250" spans="3:6" x14ac:dyDescent="0.25">
      <c r="C250" t="s">
        <v>441</v>
      </c>
      <c r="D250" s="7">
        <v>1451.16</v>
      </c>
      <c r="E250" t="s">
        <v>446</v>
      </c>
      <c r="F250" s="9">
        <v>45879</v>
      </c>
    </row>
    <row r="251" spans="3:6" x14ac:dyDescent="0.25">
      <c r="C251" s="18" t="s">
        <v>443</v>
      </c>
      <c r="D251" s="7">
        <v>515.94000000000005</v>
      </c>
      <c r="E251" t="s">
        <v>447</v>
      </c>
      <c r="F251" s="9">
        <v>45886</v>
      </c>
    </row>
    <row r="252" spans="3:6" x14ac:dyDescent="0.25">
      <c r="C252" s="18" t="s">
        <v>444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445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468</v>
      </c>
      <c r="D254" s="7">
        <v>58000</v>
      </c>
      <c r="E254" t="s">
        <v>467</v>
      </c>
      <c r="F254" s="9">
        <v>45913</v>
      </c>
    </row>
    <row r="255" spans="3:6" x14ac:dyDescent="0.25">
      <c r="C255" t="s">
        <v>469</v>
      </c>
      <c r="D255" s="7">
        <v>194700</v>
      </c>
      <c r="E255" t="s">
        <v>470</v>
      </c>
      <c r="F255" s="9">
        <v>45915</v>
      </c>
    </row>
    <row r="256" spans="3:6" x14ac:dyDescent="0.25">
      <c r="C256" t="s">
        <v>471</v>
      </c>
      <c r="D256" s="7">
        <v>7000</v>
      </c>
      <c r="E256" t="s">
        <v>470</v>
      </c>
      <c r="F256" s="9">
        <v>45915</v>
      </c>
    </row>
    <row r="257" spans="3:6" x14ac:dyDescent="0.25">
      <c r="C257" s="18" t="s">
        <v>472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473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474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434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475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476</v>
      </c>
      <c r="D262" s="7">
        <v>4000</v>
      </c>
      <c r="E262" t="s">
        <v>477</v>
      </c>
      <c r="F262" s="9">
        <v>45916</v>
      </c>
    </row>
    <row r="263" spans="3:6" x14ac:dyDescent="0.25">
      <c r="C263" s="18" t="s">
        <v>478</v>
      </c>
      <c r="D263" s="7">
        <v>262.33999999999997</v>
      </c>
      <c r="F263" s="9">
        <v>45917</v>
      </c>
    </row>
    <row r="264" spans="3:6" x14ac:dyDescent="0.25">
      <c r="C264" s="18" t="s">
        <v>479</v>
      </c>
      <c r="D264" s="7">
        <v>56.15</v>
      </c>
      <c r="F264" s="9">
        <v>45917</v>
      </c>
    </row>
    <row r="265" spans="3:6" x14ac:dyDescent="0.25">
      <c r="C265" s="18" t="s">
        <v>480</v>
      </c>
      <c r="D265" s="7">
        <v>697.5</v>
      </c>
      <c r="E265" t="s">
        <v>481</v>
      </c>
      <c r="F265" s="9">
        <v>45917</v>
      </c>
    </row>
    <row r="266" spans="3:6" x14ac:dyDescent="0.25">
      <c r="C266" t="s">
        <v>482</v>
      </c>
      <c r="D266" s="7">
        <v>13300</v>
      </c>
      <c r="E266" t="s">
        <v>483</v>
      </c>
      <c r="F266" s="9">
        <v>45917</v>
      </c>
    </row>
    <row r="267" spans="3:6" x14ac:dyDescent="0.25">
      <c r="C267" s="18" t="s">
        <v>478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484</v>
      </c>
      <c r="D268" s="7">
        <v>124</v>
      </c>
      <c r="E268" t="s">
        <v>489</v>
      </c>
      <c r="F268" s="9">
        <v>45919</v>
      </c>
    </row>
    <row r="269" spans="3:6" x14ac:dyDescent="0.25">
      <c r="C269" s="18" t="s">
        <v>485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486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487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488</v>
      </c>
      <c r="D272" s="7">
        <v>195</v>
      </c>
      <c r="E272" t="s">
        <v>490</v>
      </c>
      <c r="F272" s="9">
        <v>45919</v>
      </c>
    </row>
    <row r="273" spans="3:6" x14ac:dyDescent="0.25">
      <c r="C273" s="18" t="s">
        <v>491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492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493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472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472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472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494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428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428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496</v>
      </c>
      <c r="D282" s="7">
        <v>11300</v>
      </c>
      <c r="E282" t="s">
        <v>495</v>
      </c>
      <c r="F282" s="9">
        <v>45946</v>
      </c>
    </row>
    <row r="283" spans="3:6" x14ac:dyDescent="0.25">
      <c r="C283" t="s">
        <v>497</v>
      </c>
      <c r="D283" s="7">
        <v>7722</v>
      </c>
      <c r="E283" t="s">
        <v>500</v>
      </c>
      <c r="F283" s="9">
        <v>45947</v>
      </c>
    </row>
    <row r="284" spans="3:6" x14ac:dyDescent="0.25">
      <c r="C284" t="s">
        <v>498</v>
      </c>
      <c r="D284" s="7">
        <v>1764</v>
      </c>
      <c r="E284" t="s">
        <v>500</v>
      </c>
      <c r="F284" s="9">
        <v>45947</v>
      </c>
    </row>
    <row r="285" spans="3:6" x14ac:dyDescent="0.25">
      <c r="C285" t="s">
        <v>499</v>
      </c>
      <c r="D285" s="7">
        <v>136</v>
      </c>
      <c r="E285" t="s">
        <v>500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500</v>
      </c>
      <c r="F286" s="9">
        <v>45947</v>
      </c>
    </row>
    <row r="287" spans="3:6" x14ac:dyDescent="0.25">
      <c r="C287" t="s">
        <v>501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502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434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503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504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505</v>
      </c>
      <c r="D292" s="7">
        <v>44500</v>
      </c>
      <c r="E292" t="s">
        <v>506</v>
      </c>
      <c r="F292" s="9">
        <v>45953</v>
      </c>
    </row>
    <row r="293" spans="3:6" x14ac:dyDescent="0.25">
      <c r="C293" t="s">
        <v>507</v>
      </c>
      <c r="D293" s="7">
        <v>44050</v>
      </c>
      <c r="E293" t="s">
        <v>508</v>
      </c>
      <c r="F293" s="9">
        <v>45954</v>
      </c>
    </row>
    <row r="294" spans="3:6" x14ac:dyDescent="0.25">
      <c r="C294" t="s">
        <v>509</v>
      </c>
      <c r="D294" s="7">
        <v>500</v>
      </c>
      <c r="E294" t="s">
        <v>510</v>
      </c>
      <c r="F294" s="9">
        <v>45954</v>
      </c>
    </row>
    <row r="295" spans="3:6" x14ac:dyDescent="0.25">
      <c r="C295" t="s">
        <v>513</v>
      </c>
      <c r="D295" s="7">
        <v>136080</v>
      </c>
      <c r="E295" t="s">
        <v>470</v>
      </c>
      <c r="F295" s="9">
        <v>45968</v>
      </c>
    </row>
    <row r="296" spans="3:6" x14ac:dyDescent="0.25">
      <c r="C296" t="s">
        <v>511</v>
      </c>
      <c r="D296" s="7">
        <v>8500</v>
      </c>
      <c r="E296" t="s">
        <v>512</v>
      </c>
      <c r="F296" s="9">
        <v>45968</v>
      </c>
    </row>
    <row r="297" spans="3:6" x14ac:dyDescent="0.25">
      <c r="C297" t="s">
        <v>514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515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516</v>
      </c>
      <c r="D299" s="7">
        <v>569.9</v>
      </c>
      <c r="E299" t="s">
        <v>517</v>
      </c>
      <c r="F299" s="9">
        <v>45974</v>
      </c>
    </row>
    <row r="300" spans="3:6" x14ac:dyDescent="0.25">
      <c r="C300" s="18" t="s">
        <v>518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519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520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521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522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523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524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525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526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527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528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529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530</v>
      </c>
      <c r="D312" s="7">
        <v>2100</v>
      </c>
      <c r="E312" t="s">
        <v>533</v>
      </c>
      <c r="F312" s="20">
        <v>46001</v>
      </c>
    </row>
    <row r="313" spans="3:6" x14ac:dyDescent="0.25">
      <c r="C313" t="s">
        <v>531</v>
      </c>
      <c r="D313" s="7">
        <v>380</v>
      </c>
      <c r="E313" t="s">
        <v>534</v>
      </c>
      <c r="F313" s="20">
        <v>46001</v>
      </c>
    </row>
    <row r="314" spans="3:6" x14ac:dyDescent="0.25">
      <c r="C314" t="s">
        <v>532</v>
      </c>
      <c r="D314" s="7">
        <v>220</v>
      </c>
      <c r="E314" t="s">
        <v>535</v>
      </c>
      <c r="F314" s="20">
        <v>46001</v>
      </c>
    </row>
    <row r="315" spans="3:6" x14ac:dyDescent="0.25">
      <c r="C315" s="18" t="s">
        <v>536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537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538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539</v>
      </c>
      <c r="D318" s="7">
        <v>550.80999999999995</v>
      </c>
      <c r="E318" t="s">
        <v>540</v>
      </c>
      <c r="F318" s="9">
        <v>46014</v>
      </c>
    </row>
    <row r="319" spans="3:6" x14ac:dyDescent="0.25">
      <c r="C319" t="s">
        <v>613</v>
      </c>
      <c r="D319" s="7">
        <v>125</v>
      </c>
      <c r="F319" s="9">
        <v>46073</v>
      </c>
    </row>
    <row r="320" spans="3:6" x14ac:dyDescent="0.25">
      <c r="C320" t="s">
        <v>614</v>
      </c>
      <c r="D320" s="7">
        <v>209</v>
      </c>
      <c r="F320" s="9">
        <v>46073</v>
      </c>
    </row>
    <row r="321" spans="3:6" x14ac:dyDescent="0.25">
      <c r="C321" t="s">
        <v>615</v>
      </c>
      <c r="D321" s="7">
        <v>138</v>
      </c>
      <c r="F321" s="9">
        <v>46073</v>
      </c>
    </row>
    <row r="322" spans="3:6" x14ac:dyDescent="0.25">
      <c r="C322" t="s">
        <v>616</v>
      </c>
      <c r="D322" s="7">
        <v>539</v>
      </c>
      <c r="F322" s="9">
        <v>46073</v>
      </c>
    </row>
    <row r="323" spans="3:6" x14ac:dyDescent="0.25">
      <c r="C323" t="s">
        <v>617</v>
      </c>
      <c r="D323" s="7">
        <v>479</v>
      </c>
      <c r="F323" s="9">
        <v>46075</v>
      </c>
    </row>
    <row r="324" spans="3:6" x14ac:dyDescent="0.25">
      <c r="C324" t="s">
        <v>618</v>
      </c>
      <c r="D324" s="7">
        <v>839</v>
      </c>
      <c r="F324" s="9">
        <v>46075</v>
      </c>
    </row>
    <row r="325" spans="3:6" x14ac:dyDescent="0.25">
      <c r="D325" s="7"/>
      <c r="F325" s="9"/>
    </row>
    <row r="326" spans="3:6" x14ac:dyDescent="0.25">
      <c r="D326" s="7"/>
      <c r="F326" s="9"/>
    </row>
    <row r="327" spans="3:6" x14ac:dyDescent="0.25">
      <c r="D327" s="7"/>
      <c r="F327" s="9"/>
    </row>
    <row r="328" spans="3:6" x14ac:dyDescent="0.25">
      <c r="D328" s="7"/>
      <c r="F328" s="9"/>
    </row>
    <row r="329" spans="3:6" x14ac:dyDescent="0.25">
      <c r="D329" s="7"/>
      <c r="F329" s="9"/>
    </row>
    <row r="330" spans="3:6" x14ac:dyDescent="0.25">
      <c r="D330" s="7"/>
      <c r="F330" s="9"/>
    </row>
    <row r="331" spans="3:6" x14ac:dyDescent="0.25">
      <c r="D331" s="7"/>
      <c r="F331" s="9"/>
    </row>
    <row r="332" spans="3:6" x14ac:dyDescent="0.25">
      <c r="D332" s="7"/>
      <c r="F332" s="9"/>
    </row>
    <row r="333" spans="3:6" x14ac:dyDescent="0.25">
      <c r="D333" s="7"/>
      <c r="F333" s="9"/>
    </row>
    <row r="334" spans="3:6" x14ac:dyDescent="0.25">
      <c r="D334" s="7"/>
      <c r="F334" s="9"/>
    </row>
    <row r="335" spans="3:6" x14ac:dyDescent="0.25">
      <c r="D335" s="7"/>
      <c r="F335" s="9"/>
    </row>
    <row r="336" spans="3:6" x14ac:dyDescent="0.25">
      <c r="D336" s="7"/>
      <c r="F336" s="9"/>
    </row>
    <row r="337" spans="4:6" x14ac:dyDescent="0.25">
      <c r="D337" s="7"/>
      <c r="F337" s="9"/>
    </row>
    <row r="338" spans="4:6" x14ac:dyDescent="0.25">
      <c r="D338" s="7"/>
      <c r="F338" s="9"/>
    </row>
    <row r="339" spans="4:6" x14ac:dyDescent="0.25">
      <c r="D339" s="7"/>
      <c r="F339" s="9"/>
    </row>
    <row r="340" spans="4:6" x14ac:dyDescent="0.25">
      <c r="D340" s="7"/>
      <c r="F340" s="9"/>
    </row>
    <row r="341" spans="4:6" x14ac:dyDescent="0.25">
      <c r="D341" s="7"/>
      <c r="F341" s="9"/>
    </row>
    <row r="342" spans="4:6" x14ac:dyDescent="0.25">
      <c r="D342" s="7"/>
      <c r="F342" s="9"/>
    </row>
    <row r="343" spans="4:6" x14ac:dyDescent="0.25">
      <c r="D343" s="7">
        <f>SUBTOTAL(109,Таблица4[Цена (руб)])</f>
        <v>3988502.8900000011</v>
      </c>
      <c r="F343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I15" sqref="I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451</v>
      </c>
    </row>
    <row r="4" spans="2:4" x14ac:dyDescent="0.25">
      <c r="B4" t="s">
        <v>448</v>
      </c>
      <c r="C4">
        <v>0.47</v>
      </c>
    </row>
    <row r="5" spans="2:4" x14ac:dyDescent="0.25">
      <c r="B5" t="s">
        <v>449</v>
      </c>
      <c r="C5">
        <v>0.12</v>
      </c>
    </row>
    <row r="6" spans="2:4" x14ac:dyDescent="0.25">
      <c r="B6" t="s">
        <v>450</v>
      </c>
      <c r="C6">
        <v>0.54</v>
      </c>
    </row>
    <row r="7" spans="2:4" x14ac:dyDescent="0.25">
      <c r="B7" t="s">
        <v>452</v>
      </c>
      <c r="C7">
        <v>0.13</v>
      </c>
    </row>
    <row r="8" spans="2:4" x14ac:dyDescent="0.25">
      <c r="B8" t="s">
        <v>453</v>
      </c>
      <c r="C8">
        <v>0.45</v>
      </c>
    </row>
    <row r="9" spans="2:4" x14ac:dyDescent="0.25">
      <c r="B9" t="s">
        <v>454</v>
      </c>
      <c r="C9">
        <v>0.26</v>
      </c>
    </row>
    <row r="10" spans="2:4" x14ac:dyDescent="0.25">
      <c r="B10" t="s">
        <v>455</v>
      </c>
      <c r="C10">
        <v>0.56999999999999995</v>
      </c>
    </row>
    <row r="11" spans="2:4" x14ac:dyDescent="0.25">
      <c r="B11" t="s">
        <v>456</v>
      </c>
      <c r="C11">
        <v>0.45</v>
      </c>
    </row>
    <row r="12" spans="2:4" x14ac:dyDescent="0.25">
      <c r="B12" t="s">
        <v>457</v>
      </c>
      <c r="C12">
        <v>0.3</v>
      </c>
    </row>
    <row r="13" spans="2:4" x14ac:dyDescent="0.25">
      <c r="B13" t="s">
        <v>458</v>
      </c>
      <c r="C13">
        <v>7.0000000000000007E-2</v>
      </c>
    </row>
    <row r="14" spans="2:4" x14ac:dyDescent="0.25">
      <c r="B14" t="s">
        <v>459</v>
      </c>
      <c r="C14">
        <v>0.27</v>
      </c>
    </row>
    <row r="15" spans="2:4" x14ac:dyDescent="0.25">
      <c r="B15" t="s">
        <v>460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451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J14" sqref="J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461</v>
      </c>
      <c r="D3" t="s">
        <v>463</v>
      </c>
      <c r="E3" t="s">
        <v>462</v>
      </c>
      <c r="G3">
        <v>11</v>
      </c>
      <c r="I3">
        <f>200 *100*6000</f>
        <v>120000000</v>
      </c>
      <c r="J3" t="s">
        <v>466</v>
      </c>
      <c r="K3">
        <v>0.12</v>
      </c>
      <c r="L3" t="s">
        <v>451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464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451</v>
      </c>
    </row>
    <row r="15" spans="3:12" x14ac:dyDescent="0.25">
      <c r="G15" s="23" t="s">
        <v>465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F37" sqref="F37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B24" sqref="B24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393</v>
      </c>
      <c r="G5" t="s">
        <v>346</v>
      </c>
      <c r="H5" s="27">
        <v>150</v>
      </c>
    </row>
    <row r="6" spans="1:11" x14ac:dyDescent="0.25">
      <c r="B6" t="s">
        <v>347</v>
      </c>
      <c r="C6" s="27">
        <v>50</v>
      </c>
      <c r="D6" t="s">
        <v>394</v>
      </c>
      <c r="G6" t="s">
        <v>347</v>
      </c>
      <c r="H6" s="27">
        <v>60</v>
      </c>
    </row>
    <row r="7" spans="1:11" x14ac:dyDescent="0.25">
      <c r="B7" t="s">
        <v>348</v>
      </c>
      <c r="C7" s="28">
        <v>15</v>
      </c>
      <c r="D7" t="s">
        <v>400</v>
      </c>
      <c r="G7" t="s">
        <v>348</v>
      </c>
      <c r="H7" s="28">
        <v>20</v>
      </c>
      <c r="I7" s="29" t="s">
        <v>401</v>
      </c>
    </row>
    <row r="8" spans="1:11" x14ac:dyDescent="0.25">
      <c r="B8" t="s">
        <v>398</v>
      </c>
      <c r="C8" s="36">
        <f>C9-250</f>
        <v>2765</v>
      </c>
      <c r="D8" t="s">
        <v>396</v>
      </c>
      <c r="G8" t="s">
        <v>395</v>
      </c>
      <c r="H8" s="23">
        <f>2550+H5+H6+H7</f>
        <v>2780</v>
      </c>
      <c r="I8" t="s">
        <v>402</v>
      </c>
    </row>
    <row r="9" spans="1:11" x14ac:dyDescent="0.25">
      <c r="B9" t="s">
        <v>397</v>
      </c>
      <c r="C9" s="24">
        <f>C5+C6+C7+850+1500+500</f>
        <v>3015</v>
      </c>
      <c r="G9" t="s">
        <v>397</v>
      </c>
      <c r="H9" s="24">
        <f>H8+250</f>
        <v>3030</v>
      </c>
      <c r="I9" t="s">
        <v>403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405</v>
      </c>
      <c r="F13" s="23"/>
      <c r="G13" t="s">
        <v>404</v>
      </c>
      <c r="H13" s="24">
        <f>850+H5+H6+H7</f>
        <v>1080</v>
      </c>
      <c r="I13" t="s">
        <v>399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52" workbookViewId="0">
      <selection activeCell="B78" sqref="B78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577</v>
      </c>
    </row>
    <row r="4" spans="2:4" x14ac:dyDescent="0.25">
      <c r="B4" t="s">
        <v>541</v>
      </c>
      <c r="C4" t="s">
        <v>576</v>
      </c>
      <c r="D4" t="s">
        <v>1</v>
      </c>
    </row>
    <row r="5" spans="2:4" x14ac:dyDescent="0.25">
      <c r="B5" t="s">
        <v>542</v>
      </c>
      <c r="C5" s="23">
        <v>2</v>
      </c>
      <c r="D5" t="s">
        <v>550</v>
      </c>
    </row>
    <row r="6" spans="2:4" x14ac:dyDescent="0.25">
      <c r="B6" t="s">
        <v>544</v>
      </c>
      <c r="C6" s="23">
        <v>1</v>
      </c>
    </row>
    <row r="7" spans="2:4" x14ac:dyDescent="0.25">
      <c r="B7" t="s">
        <v>543</v>
      </c>
      <c r="C7" s="23">
        <v>1</v>
      </c>
    </row>
    <row r="8" spans="2:4" x14ac:dyDescent="0.25">
      <c r="B8" t="s">
        <v>545</v>
      </c>
      <c r="C8" s="23">
        <v>1</v>
      </c>
    </row>
    <row r="9" spans="2:4" x14ac:dyDescent="0.25">
      <c r="B9" t="s">
        <v>548</v>
      </c>
      <c r="C9" s="23">
        <v>2</v>
      </c>
    </row>
    <row r="10" spans="2:4" x14ac:dyDescent="0.25">
      <c r="B10" t="s">
        <v>546</v>
      </c>
      <c r="C10" s="23">
        <v>3</v>
      </c>
    </row>
    <row r="11" spans="2:4" x14ac:dyDescent="0.25">
      <c r="B11" t="s">
        <v>547</v>
      </c>
      <c r="C11" s="23">
        <v>1</v>
      </c>
    </row>
    <row r="12" spans="2:4" x14ac:dyDescent="0.25">
      <c r="B12" t="s">
        <v>554</v>
      </c>
      <c r="C12" s="23">
        <v>3</v>
      </c>
    </row>
    <row r="13" spans="2:4" x14ac:dyDescent="0.25">
      <c r="B13" t="s">
        <v>549</v>
      </c>
      <c r="C13" s="23">
        <v>1</v>
      </c>
    </row>
    <row r="14" spans="2:4" x14ac:dyDescent="0.25">
      <c r="B14" t="s">
        <v>552</v>
      </c>
      <c r="C14" s="23">
        <v>3</v>
      </c>
    </row>
    <row r="15" spans="2:4" x14ac:dyDescent="0.25">
      <c r="B15" t="s">
        <v>553</v>
      </c>
      <c r="C15" s="23">
        <f>SUM(C5:C14)</f>
        <v>18</v>
      </c>
    </row>
    <row r="18" spans="2:4" ht="18.75" x14ac:dyDescent="0.3">
      <c r="B18" s="8" t="s">
        <v>578</v>
      </c>
    </row>
    <row r="19" spans="2:4" x14ac:dyDescent="0.25">
      <c r="B19" t="s">
        <v>541</v>
      </c>
      <c r="C19" t="s">
        <v>551</v>
      </c>
      <c r="D19" t="s">
        <v>1</v>
      </c>
    </row>
    <row r="20" spans="2:4" x14ac:dyDescent="0.25">
      <c r="B20" t="s">
        <v>556</v>
      </c>
      <c r="C20" s="23">
        <v>4</v>
      </c>
      <c r="D20" t="s">
        <v>550</v>
      </c>
    </row>
    <row r="21" spans="2:4" x14ac:dyDescent="0.25">
      <c r="B21" t="s">
        <v>554</v>
      </c>
      <c r="C21" s="23">
        <v>3</v>
      </c>
    </row>
    <row r="22" spans="2:4" x14ac:dyDescent="0.25">
      <c r="B22" t="s">
        <v>555</v>
      </c>
      <c r="C22" s="23">
        <v>2</v>
      </c>
    </row>
    <row r="23" spans="2:4" x14ac:dyDescent="0.25">
      <c r="B23" t="s">
        <v>553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579</v>
      </c>
      <c r="C27" s="23"/>
    </row>
    <row r="28" spans="2:4" x14ac:dyDescent="0.25">
      <c r="B28" t="s">
        <v>541</v>
      </c>
      <c r="C28" t="s">
        <v>551</v>
      </c>
      <c r="D28" t="s">
        <v>1</v>
      </c>
    </row>
    <row r="29" spans="2:4" x14ac:dyDescent="0.25">
      <c r="B29" t="s">
        <v>556</v>
      </c>
      <c r="C29" s="23">
        <v>4</v>
      </c>
      <c r="D29" t="s">
        <v>550</v>
      </c>
    </row>
    <row r="30" spans="2:4" x14ac:dyDescent="0.25">
      <c r="B30" t="s">
        <v>554</v>
      </c>
      <c r="C30" s="23">
        <v>3</v>
      </c>
    </row>
    <row r="31" spans="2:4" x14ac:dyDescent="0.25">
      <c r="B31" t="s">
        <v>555</v>
      </c>
      <c r="C31" s="23">
        <v>2</v>
      </c>
    </row>
    <row r="32" spans="2:4" x14ac:dyDescent="0.25">
      <c r="B32" t="s">
        <v>553</v>
      </c>
      <c r="C32" s="23">
        <f>SUM(C29:C31)</f>
        <v>9</v>
      </c>
    </row>
    <row r="35" spans="2:4" ht="18.75" x14ac:dyDescent="0.3">
      <c r="B35" s="8" t="s">
        <v>580</v>
      </c>
      <c r="C35" s="23"/>
    </row>
    <row r="36" spans="2:4" x14ac:dyDescent="0.25">
      <c r="B36" t="s">
        <v>541</v>
      </c>
      <c r="C36" t="s">
        <v>551</v>
      </c>
      <c r="D36" t="s">
        <v>1</v>
      </c>
    </row>
    <row r="37" spans="2:4" x14ac:dyDescent="0.25">
      <c r="B37" t="s">
        <v>556</v>
      </c>
      <c r="C37" s="23">
        <v>4</v>
      </c>
      <c r="D37" t="s">
        <v>550</v>
      </c>
    </row>
    <row r="38" spans="2:4" x14ac:dyDescent="0.25">
      <c r="B38" t="s">
        <v>554</v>
      </c>
      <c r="C38" s="23">
        <v>3</v>
      </c>
    </row>
    <row r="39" spans="2:4" x14ac:dyDescent="0.25">
      <c r="B39" t="s">
        <v>555</v>
      </c>
      <c r="C39" s="23">
        <v>2</v>
      </c>
    </row>
    <row r="40" spans="2:4" x14ac:dyDescent="0.25">
      <c r="B40" t="s">
        <v>553</v>
      </c>
      <c r="C40" s="23">
        <f>SUM(C37:C39)</f>
        <v>9</v>
      </c>
    </row>
    <row r="43" spans="2:4" ht="18.75" x14ac:dyDescent="0.3">
      <c r="B43" s="8" t="s">
        <v>581</v>
      </c>
      <c r="C43" s="23"/>
    </row>
    <row r="44" spans="2:4" x14ac:dyDescent="0.25">
      <c r="B44" t="s">
        <v>541</v>
      </c>
      <c r="C44" t="s">
        <v>551</v>
      </c>
      <c r="D44" t="s">
        <v>1</v>
      </c>
    </row>
    <row r="45" spans="2:4" x14ac:dyDescent="0.25">
      <c r="B45" t="s">
        <v>558</v>
      </c>
      <c r="C45" s="23">
        <v>2</v>
      </c>
      <c r="D45" t="s">
        <v>560</v>
      </c>
    </row>
    <row r="46" spans="2:4" x14ac:dyDescent="0.25">
      <c r="B46" t="s">
        <v>557</v>
      </c>
      <c r="C46" s="23">
        <v>1</v>
      </c>
      <c r="D46" t="s">
        <v>561</v>
      </c>
    </row>
    <row r="47" spans="2:4" x14ac:dyDescent="0.25">
      <c r="B47" t="s">
        <v>559</v>
      </c>
      <c r="C47" s="23">
        <v>2</v>
      </c>
      <c r="D47" t="s">
        <v>561</v>
      </c>
    </row>
    <row r="48" spans="2:4" x14ac:dyDescent="0.25">
      <c r="B48" t="s">
        <v>553</v>
      </c>
      <c r="C48" s="23">
        <f>SUM(C45:C47)</f>
        <v>5</v>
      </c>
    </row>
    <row r="51" spans="2:4" ht="18.75" x14ac:dyDescent="0.3">
      <c r="B51" s="8" t="s">
        <v>582</v>
      </c>
      <c r="C51" s="23"/>
    </row>
    <row r="52" spans="2:4" x14ac:dyDescent="0.25">
      <c r="B52" t="s">
        <v>541</v>
      </c>
      <c r="C52" t="s">
        <v>551</v>
      </c>
      <c r="D52" t="s">
        <v>1</v>
      </c>
    </row>
    <row r="53" spans="2:4" x14ac:dyDescent="0.25">
      <c r="B53" t="s">
        <v>562</v>
      </c>
      <c r="C53" s="23">
        <v>1</v>
      </c>
      <c r="D53" t="s">
        <v>560</v>
      </c>
    </row>
    <row r="54" spans="2:4" x14ac:dyDescent="0.25">
      <c r="B54" t="s">
        <v>563</v>
      </c>
      <c r="C54" s="23">
        <v>1</v>
      </c>
      <c r="D54" t="s">
        <v>561</v>
      </c>
    </row>
    <row r="55" spans="2:4" x14ac:dyDescent="0.25">
      <c r="B55" t="s">
        <v>553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583</v>
      </c>
      <c r="C58" s="23"/>
    </row>
    <row r="59" spans="2:4" x14ac:dyDescent="0.25">
      <c r="B59" t="s">
        <v>541</v>
      </c>
      <c r="C59" t="s">
        <v>551</v>
      </c>
      <c r="D59" t="s">
        <v>1</v>
      </c>
    </row>
    <row r="60" spans="2:4" x14ac:dyDescent="0.25">
      <c r="B60" t="s">
        <v>564</v>
      </c>
      <c r="C60" s="23">
        <v>2</v>
      </c>
      <c r="D60" t="s">
        <v>550</v>
      </c>
    </row>
    <row r="61" spans="2:4" x14ac:dyDescent="0.25">
      <c r="B61" t="s">
        <v>565</v>
      </c>
      <c r="C61" s="23">
        <v>2</v>
      </c>
    </row>
    <row r="62" spans="2:4" x14ac:dyDescent="0.25">
      <c r="B62" t="s">
        <v>566</v>
      </c>
      <c r="C62" s="23">
        <v>1</v>
      </c>
    </row>
    <row r="63" spans="2:4" x14ac:dyDescent="0.25">
      <c r="B63" t="s">
        <v>567</v>
      </c>
      <c r="C63" s="23">
        <v>1</v>
      </c>
      <c r="D63" t="s">
        <v>569</v>
      </c>
    </row>
    <row r="64" spans="2:4" x14ac:dyDescent="0.25">
      <c r="B64" t="s">
        <v>568</v>
      </c>
      <c r="C64" s="23">
        <v>1</v>
      </c>
      <c r="D64" t="s">
        <v>570</v>
      </c>
    </row>
    <row r="65" spans="2:4" x14ac:dyDescent="0.25">
      <c r="B65" t="s">
        <v>571</v>
      </c>
      <c r="C65" s="23"/>
      <c r="D65" t="s">
        <v>572</v>
      </c>
    </row>
    <row r="66" spans="2:4" x14ac:dyDescent="0.25">
      <c r="C66" s="23"/>
      <c r="D66" t="s">
        <v>575</v>
      </c>
    </row>
    <row r="67" spans="2:4" x14ac:dyDescent="0.25">
      <c r="C67" s="23"/>
    </row>
    <row r="68" spans="2:4" ht="18.75" x14ac:dyDescent="0.3">
      <c r="B68" s="8" t="s">
        <v>584</v>
      </c>
      <c r="C68" s="23"/>
    </row>
    <row r="69" spans="2:4" x14ac:dyDescent="0.25">
      <c r="B69" t="s">
        <v>541</v>
      </c>
      <c r="C69" t="s">
        <v>551</v>
      </c>
      <c r="D69" t="s">
        <v>1</v>
      </c>
    </row>
    <row r="70" spans="2:4" x14ac:dyDescent="0.25">
      <c r="B70" t="s">
        <v>573</v>
      </c>
      <c r="C70" s="23">
        <v>1</v>
      </c>
      <c r="D70" t="s">
        <v>550</v>
      </c>
    </row>
    <row r="71" spans="2:4" x14ac:dyDescent="0.25">
      <c r="B71" t="s">
        <v>574</v>
      </c>
      <c r="C71" s="23">
        <v>1</v>
      </c>
    </row>
    <row r="72" spans="2:4" x14ac:dyDescent="0.25">
      <c r="B72" t="s">
        <v>553</v>
      </c>
      <c r="C72" s="23">
        <f>SUM(C70:C71)</f>
        <v>2</v>
      </c>
    </row>
    <row r="75" spans="2:4" x14ac:dyDescent="0.25">
      <c r="B75" t="s">
        <v>585</v>
      </c>
    </row>
    <row r="76" spans="2:4" x14ac:dyDescent="0.25">
      <c r="B76" t="s">
        <v>586</v>
      </c>
    </row>
    <row r="77" spans="2:4" x14ac:dyDescent="0.25">
      <c r="B77" t="s">
        <v>587</v>
      </c>
    </row>
    <row r="78" spans="2:4" x14ac:dyDescent="0.25">
      <c r="B78" t="s">
        <v>588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589</v>
      </c>
    </row>
    <row r="4" spans="2:12" x14ac:dyDescent="0.25">
      <c r="B4" s="11" t="s">
        <v>590</v>
      </c>
      <c r="C4" t="s">
        <v>597</v>
      </c>
      <c r="E4" s="11" t="s">
        <v>590</v>
      </c>
      <c r="F4" t="s">
        <v>605</v>
      </c>
      <c r="G4" t="s">
        <v>606</v>
      </c>
      <c r="H4" t="s">
        <v>607</v>
      </c>
      <c r="I4" t="s">
        <v>608</v>
      </c>
      <c r="J4" t="s">
        <v>609</v>
      </c>
      <c r="K4" t="s">
        <v>610</v>
      </c>
      <c r="L4" t="s">
        <v>604</v>
      </c>
    </row>
    <row r="5" spans="2:12" x14ac:dyDescent="0.25">
      <c r="B5" t="s">
        <v>591</v>
      </c>
      <c r="C5" s="7">
        <v>2790</v>
      </c>
      <c r="D5" s="7"/>
      <c r="E5" t="s">
        <v>591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592</v>
      </c>
      <c r="C6" s="7">
        <v>2890</v>
      </c>
      <c r="D6" s="7"/>
      <c r="E6" t="s">
        <v>592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593</v>
      </c>
      <c r="C7" s="7">
        <v>1390</v>
      </c>
      <c r="D7" s="7"/>
      <c r="E7" t="s">
        <v>593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594</v>
      </c>
      <c r="C8" s="7">
        <v>339</v>
      </c>
      <c r="D8" s="7"/>
      <c r="E8" t="s">
        <v>594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595</v>
      </c>
      <c r="C9" s="7">
        <v>5190</v>
      </c>
      <c r="D9" s="7"/>
      <c r="E9" t="s">
        <v>595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596</v>
      </c>
      <c r="C10" s="7">
        <v>329</v>
      </c>
      <c r="D10" s="7"/>
      <c r="E10" t="s">
        <v>596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598</v>
      </c>
      <c r="C11" s="7"/>
      <c r="D11" s="7"/>
      <c r="E11" t="s">
        <v>598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599</v>
      </c>
      <c r="C12" s="7">
        <v>125</v>
      </c>
      <c r="D12" s="7"/>
      <c r="E12" t="s">
        <v>599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600</v>
      </c>
      <c r="C13" s="7">
        <v>299</v>
      </c>
      <c r="D13" s="7"/>
      <c r="E13" t="s">
        <v>600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601</v>
      </c>
      <c r="C15" s="7">
        <v>3190</v>
      </c>
      <c r="D15" s="7"/>
      <c r="E15" t="s">
        <v>601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602</v>
      </c>
      <c r="C16" s="7">
        <v>1790</v>
      </c>
      <c r="D16" s="7"/>
      <c r="E16" t="s">
        <v>602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603</v>
      </c>
      <c r="C17" s="7">
        <v>109</v>
      </c>
      <c r="D17" s="7"/>
      <c r="E17" t="s">
        <v>603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611</v>
      </c>
    </row>
    <row r="22" spans="2:12" x14ac:dyDescent="0.25">
      <c r="B22" s="11"/>
      <c r="E22" s="11" t="s">
        <v>590</v>
      </c>
      <c r="F22" t="s">
        <v>605</v>
      </c>
      <c r="G22" t="s">
        <v>606</v>
      </c>
      <c r="H22" t="s">
        <v>607</v>
      </c>
      <c r="I22" t="s">
        <v>608</v>
      </c>
      <c r="J22" t="s">
        <v>609</v>
      </c>
      <c r="K22" t="s">
        <v>610</v>
      </c>
      <c r="L22" t="s">
        <v>612</v>
      </c>
    </row>
    <row r="23" spans="2:12" x14ac:dyDescent="0.25">
      <c r="C23" s="7"/>
      <c r="E23" t="s">
        <v>591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592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593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594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595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596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598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599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600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601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602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603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2026-02-23T19:11:34Z</dcterms:modified>
</cp:coreProperties>
</file>