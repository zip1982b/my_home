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firstSheet="1" activeTab="1"/>
  </bookViews>
  <sheets>
    <sheet name="Расчёт колличества бетона " sheetId="2" r:id="rId1"/>
    <sheet name="Покупки" sheetId="6" r:id="rId2"/>
    <sheet name="расчёт площади утепления дома" sheetId="16" r:id="rId3"/>
    <sheet name="расчёт объёма бетона для мп1" sheetId="10" r:id="rId4"/>
    <sheet name="Расчёт балок перекрытия" sheetId="11" r:id="rId5"/>
    <sheet name="Материалы" sheetId="3" r:id="rId6"/>
    <sheet name="Расчёт арматуры" sheetId="9" r:id="rId7"/>
    <sheet name="Оси" sheetId="8" r:id="rId8"/>
    <sheet name="Высоты" sheetId="7" r:id="rId9"/>
    <sheet name="Розетки и освещение" sheetId="12" r:id="rId10"/>
    <sheet name="сравнение цен на 13_02_26" sheetId="13" r:id="rId11"/>
    <sheet name="котельная и вентиляция" sheetId="14" r:id="rId12"/>
    <sheet name="дерево заказ на 18 апр 2026" sheetId="15" r:id="rId13"/>
  </sheets>
  <calcPr calcId="152511"/>
</workbook>
</file>

<file path=xl/calcChain.xml><?xml version="1.0" encoding="utf-8"?>
<calcChain xmlns="http://schemas.openxmlformats.org/spreadsheetml/2006/main">
  <c r="D531" i="6" l="1"/>
  <c r="D530" i="6"/>
  <c r="D528" i="6" l="1"/>
  <c r="D527" i="6"/>
  <c r="D526" i="6"/>
  <c r="D523" i="6"/>
  <c r="D522" i="6"/>
  <c r="F5" i="16" l="1"/>
  <c r="M13" i="16"/>
  <c r="M10" i="16"/>
  <c r="E4" i="16" s="1"/>
  <c r="F4" i="16" s="1"/>
  <c r="E3" i="16"/>
  <c r="F3" i="16" s="1"/>
  <c r="M7" i="16"/>
  <c r="M3" i="16"/>
  <c r="E6" i="16" s="1"/>
  <c r="F6" i="16" s="1"/>
  <c r="F7" i="16" l="1"/>
  <c r="D504" i="6"/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37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<sst xmlns="http://schemas.openxmlformats.org/spreadsheetml/2006/main" count="1448" uniqueCount="897">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</sst>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3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8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  <xf numFmtId="0" fontId="32" fillId="0" borderId="0" xfId="0" applyFont="1" applyAlignment="1">
      <alignment vertical="center" wrapText="1"/>
    </xf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37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37" totalsRowCount="1">
  <autoFilter ref="B5:F536"/>
  <tableColumns count="5">
    <tableColumn id="1" name="№ п/п"/>
    <tableColumn id="2" name="Наименование "/>
    <tableColumn id="3" name="Цена (руб)" totalsRowFunction="sum" dataDxfId="36" totalsRowDxfId="1"/>
    <tableColumn id="4" name="Примечание"/>
    <tableColumn id="5" name="дата" dataDxfId="35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1.xml"/><Relationship Id="rId4" Type="http://schemas.openxmlformats.org/officeDocument/2006/relationships/table" Target="../tables/table2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37"/>
  <sheetViews>
    <sheetView tabSelected="1" topLeftCell="A515" workbookViewId="0">
      <selection activeCell="C545" sqref="C545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C452" s="18" t="s">
        <v>799</v>
      </c>
      <c r="D452" s="7">
        <v>179</v>
      </c>
      <c r="E452" t="s">
        <v>173</v>
      </c>
      <c r="F452" s="9">
        <v>46189</v>
      </c>
    </row>
    <row r="453" spans="3:6" x14ac:dyDescent="0.25">
      <c r="C453" t="s">
        <v>800</v>
      </c>
      <c r="D453" s="7">
        <v>199</v>
      </c>
      <c r="E453" t="s">
        <v>173</v>
      </c>
      <c r="F453" s="9">
        <v>46189</v>
      </c>
    </row>
    <row r="454" spans="3:6" x14ac:dyDescent="0.25">
      <c r="C454" t="s">
        <v>801</v>
      </c>
      <c r="D454" s="7">
        <v>199</v>
      </c>
      <c r="E454" t="s">
        <v>173</v>
      </c>
      <c r="F454" s="9">
        <v>46189</v>
      </c>
    </row>
    <row r="455" spans="3:6" x14ac:dyDescent="0.25">
      <c r="C455" t="s">
        <v>428</v>
      </c>
      <c r="D455" s="7">
        <v>39</v>
      </c>
      <c r="E455" t="s">
        <v>173</v>
      </c>
      <c r="F455" s="9">
        <v>46189</v>
      </c>
    </row>
    <row r="456" spans="3:6" x14ac:dyDescent="0.25">
      <c r="C456" t="s">
        <v>429</v>
      </c>
      <c r="D456" s="7">
        <v>219</v>
      </c>
      <c r="E456" t="s">
        <v>173</v>
      </c>
      <c r="F456" s="9">
        <v>46189</v>
      </c>
    </row>
    <row r="457" spans="3:6" x14ac:dyDescent="0.25">
      <c r="C457" t="s">
        <v>373</v>
      </c>
      <c r="D457" s="7">
        <v>59</v>
      </c>
      <c r="E457" t="s">
        <v>173</v>
      </c>
      <c r="F457" s="9">
        <v>46189</v>
      </c>
    </row>
    <row r="458" spans="3:6" x14ac:dyDescent="0.25">
      <c r="C458" t="s">
        <v>802</v>
      </c>
      <c r="D458" s="7">
        <v>2511</v>
      </c>
      <c r="E458" t="s">
        <v>777</v>
      </c>
      <c r="F458" s="9">
        <v>46189</v>
      </c>
    </row>
    <row r="459" spans="3:6" x14ac:dyDescent="0.25">
      <c r="C459" t="s">
        <v>803</v>
      </c>
      <c r="D459" s="7">
        <v>51210</v>
      </c>
      <c r="E459" t="s">
        <v>754</v>
      </c>
      <c r="F459" s="9">
        <v>46194</v>
      </c>
    </row>
    <row r="460" spans="3:6" x14ac:dyDescent="0.25">
      <c r="C460" t="s">
        <v>804</v>
      </c>
      <c r="D460" s="7">
        <v>5390</v>
      </c>
      <c r="E460" t="s">
        <v>754</v>
      </c>
      <c r="F460" s="9">
        <v>46194</v>
      </c>
    </row>
    <row r="461" spans="3:6" x14ac:dyDescent="0.25">
      <c r="C461" t="s">
        <v>209</v>
      </c>
      <c r="D461" s="7">
        <v>2030</v>
      </c>
      <c r="E461" t="s">
        <v>754</v>
      </c>
      <c r="F461" s="9">
        <v>46194</v>
      </c>
    </row>
    <row r="462" spans="3:6" x14ac:dyDescent="0.25">
      <c r="C462" t="s">
        <v>805</v>
      </c>
      <c r="D462" s="7">
        <v>43.65</v>
      </c>
      <c r="E462" t="s">
        <v>808</v>
      </c>
      <c r="F462" s="9">
        <v>46197</v>
      </c>
    </row>
    <row r="463" spans="3:6" x14ac:dyDescent="0.25">
      <c r="C463" t="s">
        <v>806</v>
      </c>
      <c r="D463" s="7">
        <v>65.92</v>
      </c>
      <c r="E463" t="s">
        <v>808</v>
      </c>
      <c r="F463" s="9">
        <v>46197</v>
      </c>
    </row>
    <row r="464" spans="3:6" x14ac:dyDescent="0.25">
      <c r="C464" t="s">
        <v>807</v>
      </c>
      <c r="D464" s="7">
        <v>257.43</v>
      </c>
      <c r="E464" t="s">
        <v>808</v>
      </c>
      <c r="F464" s="9">
        <v>46197</v>
      </c>
    </row>
    <row r="465" spans="3:6" x14ac:dyDescent="0.25">
      <c r="C465" t="s">
        <v>809</v>
      </c>
      <c r="D465" s="7">
        <v>174</v>
      </c>
      <c r="E465" t="s">
        <v>808</v>
      </c>
      <c r="F465" s="9">
        <v>46198</v>
      </c>
    </row>
    <row r="466" spans="3:6" x14ac:dyDescent="0.25">
      <c r="C466" t="s">
        <v>810</v>
      </c>
      <c r="D466" s="7">
        <v>45</v>
      </c>
      <c r="E466" t="s">
        <v>808</v>
      </c>
      <c r="F466" s="9">
        <v>46208</v>
      </c>
    </row>
    <row r="467" spans="3:6" x14ac:dyDescent="0.25">
      <c r="C467" t="s">
        <v>811</v>
      </c>
      <c r="D467" s="7">
        <v>229</v>
      </c>
      <c r="E467" t="s">
        <v>808</v>
      </c>
      <c r="F467" s="9">
        <v>46208</v>
      </c>
    </row>
    <row r="468" spans="3:6" x14ac:dyDescent="0.25">
      <c r="C468" t="s">
        <v>812</v>
      </c>
      <c r="D468" s="7">
        <v>209</v>
      </c>
      <c r="E468" t="s">
        <v>808</v>
      </c>
      <c r="F468" s="9">
        <v>46208</v>
      </c>
    </row>
    <row r="469" spans="3:6" x14ac:dyDescent="0.25">
      <c r="C469" t="s">
        <v>813</v>
      </c>
      <c r="D469" s="7">
        <v>249</v>
      </c>
      <c r="E469" t="s">
        <v>808</v>
      </c>
      <c r="F469" s="9">
        <v>46208</v>
      </c>
    </row>
    <row r="470" spans="3:6" x14ac:dyDescent="0.25">
      <c r="C470" t="s">
        <v>806</v>
      </c>
      <c r="D470" s="7">
        <v>74</v>
      </c>
      <c r="E470" t="s">
        <v>808</v>
      </c>
      <c r="F470" s="9">
        <v>46208</v>
      </c>
    </row>
    <row r="471" spans="3:6" x14ac:dyDescent="0.25">
      <c r="C471" t="s">
        <v>814</v>
      </c>
      <c r="D471" s="7">
        <v>180</v>
      </c>
      <c r="E471" t="s">
        <v>808</v>
      </c>
      <c r="F471" s="9">
        <v>46208</v>
      </c>
    </row>
    <row r="472" spans="3:6" x14ac:dyDescent="0.25">
      <c r="C472" s="18" t="s">
        <v>815</v>
      </c>
      <c r="D472" s="7">
        <v>218.52</v>
      </c>
      <c r="E472" t="s">
        <v>808</v>
      </c>
      <c r="F472" s="9">
        <v>46210</v>
      </c>
    </row>
    <row r="473" spans="3:6" x14ac:dyDescent="0.25">
      <c r="C473" t="s">
        <v>816</v>
      </c>
      <c r="D473" s="7">
        <v>174.62</v>
      </c>
      <c r="E473" t="s">
        <v>808</v>
      </c>
      <c r="F473" s="9">
        <v>46210</v>
      </c>
    </row>
    <row r="474" spans="3:6" x14ac:dyDescent="0.25">
      <c r="C474" t="s">
        <v>817</v>
      </c>
      <c r="D474" s="7">
        <v>125.85</v>
      </c>
      <c r="E474" t="s">
        <v>808</v>
      </c>
      <c r="F474" s="9">
        <v>46210</v>
      </c>
    </row>
    <row r="475" spans="3:6" x14ac:dyDescent="0.25">
      <c r="C475" t="s">
        <v>818</v>
      </c>
      <c r="D475" s="7">
        <f xml:space="preserve"> 42.93 + 42.92</f>
        <v>85.85</v>
      </c>
      <c r="E475" t="s">
        <v>808</v>
      </c>
      <c r="F475" s="9">
        <v>46210</v>
      </c>
    </row>
    <row r="476" spans="3:6" x14ac:dyDescent="0.25">
      <c r="C476" t="s">
        <v>819</v>
      </c>
      <c r="D476" s="7">
        <v>106.33</v>
      </c>
      <c r="E476" t="s">
        <v>808</v>
      </c>
      <c r="F476" s="9">
        <v>46210</v>
      </c>
    </row>
    <row r="477" spans="3:6" x14ac:dyDescent="0.25">
      <c r="C477" t="s">
        <v>820</v>
      </c>
      <c r="D477" s="7">
        <v>174.62</v>
      </c>
      <c r="E477" t="s">
        <v>808</v>
      </c>
      <c r="F477" s="9">
        <v>46210</v>
      </c>
    </row>
    <row r="478" spans="3:6" x14ac:dyDescent="0.25">
      <c r="C478" t="s">
        <v>821</v>
      </c>
      <c r="D478" s="7">
        <v>77.069999999999993</v>
      </c>
      <c r="E478" t="s">
        <v>808</v>
      </c>
      <c r="F478" s="9">
        <v>46210</v>
      </c>
    </row>
    <row r="479" spans="3:6" x14ac:dyDescent="0.25">
      <c r="C479" t="s">
        <v>822</v>
      </c>
      <c r="D479" s="7">
        <v>291.69</v>
      </c>
      <c r="E479" t="s">
        <v>808</v>
      </c>
      <c r="F479" s="9">
        <v>46210</v>
      </c>
    </row>
    <row r="480" spans="3:6" x14ac:dyDescent="0.25">
      <c r="C480" t="s">
        <v>823</v>
      </c>
      <c r="D480" s="7">
        <f xml:space="preserve"> 125.85 *3</f>
        <v>377.54999999999995</v>
      </c>
      <c r="E480" t="s">
        <v>808</v>
      </c>
      <c r="F480" s="9">
        <v>46210</v>
      </c>
    </row>
    <row r="481" spans="3:6" x14ac:dyDescent="0.25">
      <c r="C481" t="s">
        <v>824</v>
      </c>
      <c r="D481" s="7">
        <v>135.6</v>
      </c>
      <c r="E481" t="s">
        <v>808</v>
      </c>
      <c r="F481" s="9">
        <v>46210</v>
      </c>
    </row>
    <row r="482" spans="3:6" x14ac:dyDescent="0.25">
      <c r="C482" t="s">
        <v>825</v>
      </c>
      <c r="D482" s="7">
        <v>67.31</v>
      </c>
      <c r="E482" t="s">
        <v>808</v>
      </c>
      <c r="F482" s="9">
        <v>46210</v>
      </c>
    </row>
    <row r="483" spans="3:6" x14ac:dyDescent="0.25">
      <c r="C483" t="s">
        <v>827</v>
      </c>
      <c r="D483" s="7">
        <v>319865.36</v>
      </c>
      <c r="E483" t="s">
        <v>826</v>
      </c>
      <c r="F483" s="9">
        <v>46196</v>
      </c>
    </row>
    <row r="484" spans="3:6" x14ac:dyDescent="0.25">
      <c r="C484" t="s">
        <v>828</v>
      </c>
      <c r="D484" s="7">
        <v>298.48</v>
      </c>
      <c r="E484" t="s">
        <v>173</v>
      </c>
      <c r="F484" s="9">
        <v>46214</v>
      </c>
    </row>
    <row r="485" spans="3:6" x14ac:dyDescent="0.25">
      <c r="C485" t="s">
        <v>829</v>
      </c>
      <c r="D485" s="7">
        <v>791.13</v>
      </c>
      <c r="E485" t="s">
        <v>173</v>
      </c>
      <c r="F485" s="9">
        <v>46214</v>
      </c>
    </row>
    <row r="486" spans="3:6" x14ac:dyDescent="0.25">
      <c r="C486" t="s">
        <v>830</v>
      </c>
      <c r="D486" s="7">
        <v>462.7</v>
      </c>
      <c r="E486" t="s">
        <v>173</v>
      </c>
      <c r="F486" s="9">
        <v>46214</v>
      </c>
    </row>
    <row r="487" spans="3:6" x14ac:dyDescent="0.25">
      <c r="C487" t="s">
        <v>831</v>
      </c>
      <c r="D487" s="7">
        <v>76.31</v>
      </c>
      <c r="E487" t="s">
        <v>173</v>
      </c>
      <c r="F487" s="9">
        <v>46214</v>
      </c>
    </row>
    <row r="488" spans="3:6" x14ac:dyDescent="0.25">
      <c r="C488" t="s">
        <v>832</v>
      </c>
      <c r="D488" s="7">
        <v>211.55</v>
      </c>
      <c r="E488" t="s">
        <v>173</v>
      </c>
      <c r="F488" s="9">
        <v>46214</v>
      </c>
    </row>
    <row r="489" spans="3:6" x14ac:dyDescent="0.25">
      <c r="C489" t="s">
        <v>833</v>
      </c>
      <c r="D489" s="7">
        <v>91.77</v>
      </c>
      <c r="E489" t="s">
        <v>173</v>
      </c>
      <c r="F489" s="9">
        <v>46214</v>
      </c>
    </row>
    <row r="490" spans="3:6" x14ac:dyDescent="0.25">
      <c r="C490" t="s">
        <v>834</v>
      </c>
      <c r="D490" s="7">
        <v>100.46</v>
      </c>
      <c r="E490" t="s">
        <v>173</v>
      </c>
      <c r="F490" s="9">
        <v>46214</v>
      </c>
    </row>
    <row r="491" spans="3:6" x14ac:dyDescent="0.25">
      <c r="C491" t="s">
        <v>835</v>
      </c>
      <c r="D491" s="7">
        <v>39.6</v>
      </c>
      <c r="E491" t="s">
        <v>173</v>
      </c>
      <c r="F491" s="9">
        <v>46214</v>
      </c>
    </row>
    <row r="492" spans="3:6" x14ac:dyDescent="0.25">
      <c r="C492" t="s">
        <v>836</v>
      </c>
      <c r="D492" s="7">
        <v>16176</v>
      </c>
      <c r="E492" t="s">
        <v>173</v>
      </c>
      <c r="F492" s="9">
        <v>46217</v>
      </c>
    </row>
    <row r="493" spans="3:6" x14ac:dyDescent="0.25">
      <c r="C493" s="18" t="s">
        <v>837</v>
      </c>
      <c r="D493" s="7">
        <v>2200</v>
      </c>
      <c r="E493" t="s">
        <v>173</v>
      </c>
      <c r="F493" s="9">
        <v>46217</v>
      </c>
    </row>
    <row r="494" spans="3:6" x14ac:dyDescent="0.25">
      <c r="C494" t="s">
        <v>838</v>
      </c>
      <c r="D494" s="7">
        <v>3050</v>
      </c>
      <c r="E494" t="s">
        <v>173</v>
      </c>
      <c r="F494" s="9">
        <v>46217</v>
      </c>
    </row>
    <row r="495" spans="3:6" x14ac:dyDescent="0.25">
      <c r="C495" t="s">
        <v>839</v>
      </c>
      <c r="D495" s="7">
        <v>2990</v>
      </c>
      <c r="E495" t="s">
        <v>173</v>
      </c>
      <c r="F495" s="9">
        <v>46217</v>
      </c>
    </row>
    <row r="496" spans="3:6" x14ac:dyDescent="0.25">
      <c r="C496" t="s">
        <v>840</v>
      </c>
      <c r="D496" s="7">
        <v>1980</v>
      </c>
      <c r="E496" t="s">
        <v>173</v>
      </c>
      <c r="F496" s="9">
        <v>46217</v>
      </c>
    </row>
    <row r="497" spans="3:6" x14ac:dyDescent="0.25">
      <c r="C497" t="s">
        <v>426</v>
      </c>
      <c r="D497" s="7">
        <v>1100</v>
      </c>
      <c r="E497" t="s">
        <v>173</v>
      </c>
      <c r="F497" s="9">
        <v>46217</v>
      </c>
    </row>
    <row r="498" spans="3:6" x14ac:dyDescent="0.25">
      <c r="C498" t="s">
        <v>842</v>
      </c>
      <c r="D498" s="7">
        <v>17000</v>
      </c>
      <c r="E498" t="s">
        <v>841</v>
      </c>
      <c r="F498" s="9">
        <v>46217</v>
      </c>
    </row>
    <row r="499" spans="3:6" x14ac:dyDescent="0.25">
      <c r="C499" t="s">
        <v>843</v>
      </c>
      <c r="D499" s="7">
        <v>25000</v>
      </c>
      <c r="E499" t="s">
        <v>844</v>
      </c>
      <c r="F499" s="9">
        <v>46220</v>
      </c>
    </row>
    <row r="500" spans="3:6" x14ac:dyDescent="0.25">
      <c r="C500" s="18" t="s">
        <v>845</v>
      </c>
      <c r="D500" s="7">
        <v>249</v>
      </c>
      <c r="E500" t="s">
        <v>173</v>
      </c>
      <c r="F500" s="9">
        <v>46221</v>
      </c>
    </row>
    <row r="501" spans="3:6" x14ac:dyDescent="0.25">
      <c r="C501" t="s">
        <v>846</v>
      </c>
      <c r="D501" s="7">
        <v>259</v>
      </c>
      <c r="E501" t="s">
        <v>173</v>
      </c>
      <c r="F501" s="9">
        <v>46221</v>
      </c>
    </row>
    <row r="502" spans="3:6" x14ac:dyDescent="0.25">
      <c r="C502" t="s">
        <v>847</v>
      </c>
      <c r="D502" s="7">
        <v>205</v>
      </c>
      <c r="E502" t="s">
        <v>173</v>
      </c>
      <c r="F502" s="9">
        <v>46221</v>
      </c>
    </row>
    <row r="503" spans="3:6" x14ac:dyDescent="0.25">
      <c r="C503" t="s">
        <v>848</v>
      </c>
      <c r="D503" s="7">
        <v>5000</v>
      </c>
      <c r="E503" t="s">
        <v>844</v>
      </c>
      <c r="F503" s="9">
        <v>46219</v>
      </c>
    </row>
    <row r="504" spans="3:6" x14ac:dyDescent="0.25">
      <c r="C504" t="s">
        <v>849</v>
      </c>
      <c r="D504" s="7">
        <f xml:space="preserve"> 224.43 * 2</f>
        <v>448.86</v>
      </c>
      <c r="E504" t="s">
        <v>173</v>
      </c>
      <c r="F504" s="9">
        <v>46222</v>
      </c>
    </row>
    <row r="505" spans="3:6" x14ac:dyDescent="0.25">
      <c r="C505" s="11" t="s">
        <v>850</v>
      </c>
      <c r="D505" s="7">
        <v>48.33</v>
      </c>
      <c r="E505" t="s">
        <v>173</v>
      </c>
      <c r="F505" s="9">
        <v>46222</v>
      </c>
    </row>
    <row r="506" spans="3:6" x14ac:dyDescent="0.25">
      <c r="C506" t="s">
        <v>851</v>
      </c>
      <c r="D506" s="7">
        <v>427.22</v>
      </c>
      <c r="E506" t="s">
        <v>173</v>
      </c>
      <c r="F506" s="9">
        <v>46222</v>
      </c>
    </row>
    <row r="507" spans="3:6" x14ac:dyDescent="0.25">
      <c r="C507" t="s">
        <v>852</v>
      </c>
      <c r="D507" s="7">
        <v>573.6</v>
      </c>
      <c r="E507" t="s">
        <v>173</v>
      </c>
      <c r="F507" s="9">
        <v>46222</v>
      </c>
    </row>
    <row r="508" spans="3:6" x14ac:dyDescent="0.25">
      <c r="C508" t="s">
        <v>843</v>
      </c>
      <c r="D508" s="7">
        <v>26000</v>
      </c>
      <c r="E508" t="s">
        <v>844</v>
      </c>
      <c r="F508" s="9">
        <v>46222</v>
      </c>
    </row>
    <row r="509" spans="3:6" x14ac:dyDescent="0.25">
      <c r="C509" t="s">
        <v>853</v>
      </c>
      <c r="D509" s="7">
        <v>4833</v>
      </c>
      <c r="E509" t="s">
        <v>622</v>
      </c>
      <c r="F509" s="9">
        <v>46225</v>
      </c>
    </row>
    <row r="510" spans="3:6" x14ac:dyDescent="0.25">
      <c r="C510" t="s">
        <v>854</v>
      </c>
      <c r="D510" s="7">
        <v>1814</v>
      </c>
      <c r="E510" t="s">
        <v>622</v>
      </c>
      <c r="F510" s="9">
        <v>46226</v>
      </c>
    </row>
    <row r="511" spans="3:6" x14ac:dyDescent="0.25">
      <c r="C511" t="s">
        <v>855</v>
      </c>
      <c r="D511" s="7">
        <v>4055</v>
      </c>
      <c r="E511" t="s">
        <v>622</v>
      </c>
      <c r="F511" s="9">
        <v>46228</v>
      </c>
    </row>
    <row r="512" spans="3:6" x14ac:dyDescent="0.25">
      <c r="C512" t="s">
        <v>856</v>
      </c>
      <c r="D512" s="7">
        <v>216</v>
      </c>
      <c r="E512" t="s">
        <v>232</v>
      </c>
      <c r="F512" s="9">
        <v>46228</v>
      </c>
    </row>
    <row r="513" spans="3:6" x14ac:dyDescent="0.25">
      <c r="C513" s="56" t="s">
        <v>857</v>
      </c>
      <c r="D513" s="7">
        <v>16666</v>
      </c>
      <c r="E513" t="s">
        <v>232</v>
      </c>
      <c r="F513" s="9"/>
    </row>
    <row r="514" spans="3:6" x14ac:dyDescent="0.25">
      <c r="C514" t="s">
        <v>858</v>
      </c>
      <c r="D514" s="7">
        <v>343</v>
      </c>
      <c r="E514" t="s">
        <v>232</v>
      </c>
      <c r="F514" s="9">
        <v>46225</v>
      </c>
    </row>
    <row r="515" spans="3:6" x14ac:dyDescent="0.25">
      <c r="C515" t="s">
        <v>878</v>
      </c>
      <c r="D515" s="7">
        <v>1367</v>
      </c>
      <c r="E515" t="s">
        <v>173</v>
      </c>
      <c r="F515" s="9">
        <v>46228</v>
      </c>
    </row>
    <row r="516" spans="3:6" x14ac:dyDescent="0.25">
      <c r="C516" t="s">
        <v>879</v>
      </c>
      <c r="D516" s="7">
        <v>608</v>
      </c>
      <c r="E516" t="s">
        <v>173</v>
      </c>
      <c r="F516" s="9">
        <v>46230</v>
      </c>
    </row>
    <row r="517" spans="3:6" x14ac:dyDescent="0.25">
      <c r="C517" t="s">
        <v>880</v>
      </c>
      <c r="D517" s="7">
        <v>1755</v>
      </c>
      <c r="E517" t="s">
        <v>722</v>
      </c>
      <c r="F517" s="9">
        <v>46230</v>
      </c>
    </row>
    <row r="518" spans="3:6" x14ac:dyDescent="0.25">
      <c r="C518" t="s">
        <v>473</v>
      </c>
      <c r="D518" s="7">
        <v>12000</v>
      </c>
      <c r="E518" t="s">
        <v>881</v>
      </c>
      <c r="F518" s="9">
        <v>46230</v>
      </c>
    </row>
    <row r="519" spans="3:6" x14ac:dyDescent="0.25">
      <c r="C519" t="s">
        <v>883</v>
      </c>
      <c r="D519" s="7">
        <v>74439</v>
      </c>
      <c r="E519" t="s">
        <v>882</v>
      </c>
      <c r="F519" s="9">
        <v>46230</v>
      </c>
    </row>
    <row r="520" spans="3:6" x14ac:dyDescent="0.25">
      <c r="C520" t="s">
        <v>884</v>
      </c>
      <c r="D520" s="7">
        <v>117306</v>
      </c>
      <c r="E520" t="s">
        <v>882</v>
      </c>
      <c r="F520" s="9">
        <v>46230</v>
      </c>
    </row>
    <row r="521" spans="3:6" x14ac:dyDescent="0.25">
      <c r="C521" t="s">
        <v>885</v>
      </c>
      <c r="D521" s="7">
        <v>2700</v>
      </c>
      <c r="E521" t="s">
        <v>882</v>
      </c>
      <c r="F521" s="9">
        <v>46230</v>
      </c>
    </row>
    <row r="522" spans="3:6" x14ac:dyDescent="0.25">
      <c r="C522" t="s">
        <v>887</v>
      </c>
      <c r="D522" s="7">
        <f>8115.85+4698.76</f>
        <v>12814.61</v>
      </c>
      <c r="E522" t="s">
        <v>886</v>
      </c>
      <c r="F522" s="9">
        <v>46234</v>
      </c>
    </row>
    <row r="523" spans="3:6" x14ac:dyDescent="0.25">
      <c r="C523" t="s">
        <v>888</v>
      </c>
      <c r="D523" s="7">
        <f>17173.51+592.2</f>
        <v>17765.71</v>
      </c>
      <c r="E523" t="s">
        <v>886</v>
      </c>
      <c r="F523" s="9">
        <v>46234</v>
      </c>
    </row>
    <row r="524" spans="3:6" x14ac:dyDescent="0.25">
      <c r="C524" t="s">
        <v>889</v>
      </c>
      <c r="D524" s="7">
        <v>6972.3</v>
      </c>
      <c r="E524" t="s">
        <v>886</v>
      </c>
      <c r="F524" s="9">
        <v>46234</v>
      </c>
    </row>
    <row r="525" spans="3:6" x14ac:dyDescent="0.25">
      <c r="C525" t="s">
        <v>890</v>
      </c>
      <c r="D525" s="7">
        <v>774.72</v>
      </c>
      <c r="E525" t="s">
        <v>886</v>
      </c>
      <c r="F525" s="9">
        <v>46234</v>
      </c>
    </row>
    <row r="526" spans="3:6" x14ac:dyDescent="0.25">
      <c r="C526" t="s">
        <v>891</v>
      </c>
      <c r="D526" s="7">
        <f>8708.1+2902.71</f>
        <v>11610.810000000001</v>
      </c>
      <c r="E526" t="s">
        <v>886</v>
      </c>
      <c r="F526" s="9">
        <v>46234</v>
      </c>
    </row>
    <row r="527" spans="3:6" x14ac:dyDescent="0.25">
      <c r="C527" t="s">
        <v>892</v>
      </c>
      <c r="D527" s="7">
        <f>5*90.28</f>
        <v>451.4</v>
      </c>
      <c r="E527" t="s">
        <v>886</v>
      </c>
      <c r="F527" s="9">
        <v>46234</v>
      </c>
    </row>
    <row r="528" spans="3:6" x14ac:dyDescent="0.25">
      <c r="C528" t="s">
        <v>893</v>
      </c>
      <c r="D528" s="7">
        <f>824.22*2</f>
        <v>1648.44</v>
      </c>
      <c r="E528" t="s">
        <v>886</v>
      </c>
      <c r="F528" s="9">
        <v>46234</v>
      </c>
    </row>
    <row r="529" spans="3:6" x14ac:dyDescent="0.25">
      <c r="C529" t="s">
        <v>426</v>
      </c>
      <c r="D529" s="7">
        <v>2510</v>
      </c>
      <c r="E529" t="s">
        <v>886</v>
      </c>
      <c r="F529" s="9">
        <v>46234</v>
      </c>
    </row>
    <row r="530" spans="3:6" x14ac:dyDescent="0.25">
      <c r="C530" t="s">
        <v>894</v>
      </c>
      <c r="D530" s="7">
        <f>251.35*2</f>
        <v>502.7</v>
      </c>
      <c r="E530" t="s">
        <v>886</v>
      </c>
      <c r="F530" s="9">
        <v>46237</v>
      </c>
    </row>
    <row r="531" spans="3:6" x14ac:dyDescent="0.25">
      <c r="C531" t="s">
        <v>895</v>
      </c>
      <c r="D531" s="7">
        <f>174.33*9</f>
        <v>1568.97</v>
      </c>
      <c r="E531" t="s">
        <v>886</v>
      </c>
      <c r="F531" s="9">
        <v>46237</v>
      </c>
    </row>
    <row r="532" spans="3:6" x14ac:dyDescent="0.25">
      <c r="C532" t="s">
        <v>896</v>
      </c>
      <c r="D532" s="7">
        <v>118.32</v>
      </c>
      <c r="E532" t="s">
        <v>886</v>
      </c>
      <c r="F532" s="9">
        <v>46237</v>
      </c>
    </row>
    <row r="533" spans="3:6" x14ac:dyDescent="0.25">
      <c r="D533" s="7"/>
      <c r="F533" s="9"/>
    </row>
    <row r="534" spans="3:6" x14ac:dyDescent="0.25">
      <c r="D534" s="7"/>
      <c r="F534" s="9"/>
    </row>
    <row r="535" spans="3:6" x14ac:dyDescent="0.25">
      <c r="D535" s="7"/>
      <c r="F535" s="9"/>
    </row>
    <row r="536" spans="3:6" x14ac:dyDescent="0.25">
      <c r="D536" s="7"/>
      <c r="F536" s="9"/>
    </row>
    <row r="537" spans="3:6" x14ac:dyDescent="0.25">
      <c r="D537" s="7">
        <f>SUBTOTAL(109,Таблица4[Цена (руб)])</f>
        <v>5764049.0100000007</v>
      </c>
      <c r="F537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 x14ac:dyDescent="0.2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 x14ac:dyDescent="0.25">
      <c r="B2" t="s">
        <v>859</v>
      </c>
      <c r="C2" t="s">
        <v>865</v>
      </c>
      <c r="D2" t="s">
        <v>866</v>
      </c>
      <c r="E2" t="s">
        <v>867</v>
      </c>
      <c r="F2" t="s">
        <v>871</v>
      </c>
      <c r="G2" t="s">
        <v>1</v>
      </c>
      <c r="K2" t="s">
        <v>868</v>
      </c>
      <c r="L2" t="s">
        <v>869</v>
      </c>
      <c r="M2" t="s">
        <v>864</v>
      </c>
    </row>
    <row r="3" spans="2:13" x14ac:dyDescent="0.25">
      <c r="B3" t="s">
        <v>860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872</v>
      </c>
      <c r="K3">
        <v>1.51</v>
      </c>
      <c r="L3">
        <v>1.8</v>
      </c>
      <c r="M3">
        <f>K3*L3</f>
        <v>2.718</v>
      </c>
    </row>
    <row r="4" spans="2:13" x14ac:dyDescent="0.25">
      <c r="B4" t="s">
        <v>861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 x14ac:dyDescent="0.25">
      <c r="B5" t="s">
        <v>862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875</v>
      </c>
    </row>
    <row r="6" spans="2:13" x14ac:dyDescent="0.25">
      <c r="B6" t="s">
        <v>863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876</v>
      </c>
      <c r="K6" t="s">
        <v>870</v>
      </c>
      <c r="L6" t="s">
        <v>865</v>
      </c>
      <c r="M6" t="s">
        <v>864</v>
      </c>
    </row>
    <row r="7" spans="2:13" x14ac:dyDescent="0.25">
      <c r="B7" t="s">
        <v>18</v>
      </c>
      <c r="E7" s="57"/>
      <c r="F7" s="57">
        <f>SUM(F3:F6)</f>
        <v>145.78900000000002</v>
      </c>
      <c r="G7" t="s">
        <v>877</v>
      </c>
      <c r="K7">
        <v>2.38</v>
      </c>
      <c r="L7">
        <v>1.8</v>
      </c>
      <c r="M7">
        <f>K7*L7</f>
        <v>4.2839999999999998</v>
      </c>
    </row>
    <row r="9" spans="2:13" x14ac:dyDescent="0.25">
      <c r="K9" t="s">
        <v>873</v>
      </c>
      <c r="L9" t="s">
        <v>869</v>
      </c>
      <c r="M9" t="s">
        <v>864</v>
      </c>
    </row>
    <row r="10" spans="2:13" x14ac:dyDescent="0.25">
      <c r="K10">
        <v>1.51</v>
      </c>
      <c r="L10">
        <v>0.9</v>
      </c>
      <c r="M10">
        <f>K10*L10</f>
        <v>1.359</v>
      </c>
    </row>
    <row r="12" spans="2:13" x14ac:dyDescent="0.25">
      <c r="K12" t="s">
        <v>874</v>
      </c>
      <c r="L12" t="s">
        <v>865</v>
      </c>
      <c r="M12" t="s">
        <v>864</v>
      </c>
    </row>
    <row r="13" spans="2:13" x14ac:dyDescent="0.25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Расчёт колличества бетона </vt:lpstr>
      <vt:lpstr>Покупки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2026-08-03T19:14:09Z</dcterms:modified>
</cp:coreProperties>
</file>