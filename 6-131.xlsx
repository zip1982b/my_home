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D620" i="6" l="1"/>
  <c r="D617" i="6"/>
  <c r="D615" i="6" l="1"/>
  <c r="D614" i="6" l="1"/>
  <c r="D608" i="6"/>
  <c r="D603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2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<sst xmlns="http://schemas.openxmlformats.org/spreadsheetml/2006/main" count="1688" uniqueCount="1026">
  <si>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</si>
  <si>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</si>
  <si>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</si>
  <si>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</si>
  <si>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</si>
  <si>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</si>
  <si>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</si>
  <si>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</si>
  <si>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</si>
  <si>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</si>
  <si>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</si>
  <si>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</si>
  <si>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</si>
  <si>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</si>
  <si>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</si>
  <si>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</si>
  <si>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</si>
  <si>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</si>
  <si>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</si>
  <si>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</si>
  <si>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</si>
  <si>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</si>
  <si>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</si>
  <si>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</si>
  <si>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</si>
  <si>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</si>
  <si>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</si>
  <si>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</si>
  <si>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</si>
  <si>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</si>
  <si>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</si>
  <si>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</si>
  <si>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</si>
  <si>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</si>
  <si>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</si>
  <si>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</si>
  <si>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</si>
  <si>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</si>
  <si>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</si>
  <si>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</si>
  <si>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</si>
  <si>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</si>
  <si>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</si>
  <si>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</si>
  <si>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</si>
  <si>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</si>
  <si>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</si>
  <si>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</si>
  <si>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</si>
  <si>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</si>
  <si>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</si>
  <si>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</si>
  <si>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</si>
  <si>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</si>
  <si>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</si>
  <si>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</si>
  <si>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</si>
  <si>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</si>
  <si>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</si>
  <si>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</si>
  <si>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</si>
  <si>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</si>
  <si>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</si>
  <si>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</si>
  <si>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</si>
  <si>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</si>
  <si>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</si>
  <si>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</si>
  <si>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</si>
  <si>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</si>
  <si>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</si>
  <si>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</si>
  <si>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</si>
  <si>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</si>
  <si>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</si>
  <si>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</si>
  <si>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</si>
  <si>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</si>
  <si>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</si>
  <si>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</si>
  <si>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</si>
  <si>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</si>
  <si>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</si>
  <si>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</si>
  <si>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</si>
  <si>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</si>
  <si>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</si>
  <si>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</si>
  <si>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</si>
  <si>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</si>
  <si>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</si>
  <si>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</si>
  <si>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</si>
  <si>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</si>
  <si>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</si>
  <si>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</si>
  <si>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</si>
  <si>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</si>
  <si>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</si>
  <si>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</si>
  <si>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</si>
  <si>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</si>
  <si>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</si>
  <si>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</si>
  <si>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</si>
  <si>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</si>
  <si>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</si>
  <si>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</si>
  <si>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</si>
  <si>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</si>
  <si>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</si>
  <si>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</si>
  <si>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</si>
  <si>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</si>
  <si>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</si>
  <si>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</si>
  <si>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</si>
  <si>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</si>
  <si>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</si>
  <si>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</si>
  <si>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</si>
  <si>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</si>
  <si>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</si>
  <si>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</si>
  <si>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</si>
  <si>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</si>
  <si>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</si>
  <si>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</si>
  <si>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</si>
  <si>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</si>
  <si>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</si>
  <si>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</si>
  <si>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</si>
  <si>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</si>
  <si>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</si>
  <si>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</si>
  <si>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</si>
  <si>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</si>
  <si>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</si>
  <si>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</si>
  <si>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</si>
  <si>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</si>
  <si>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</si>
  <si>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</si>
  <si>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</si>
  <si>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</si>
  <si>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</si>
  <si>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</si>
  <si>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</si>
  <si>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</si>
  <si>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</si>
  <si>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</si>
  <si>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</si>
  <si>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</si>
  <si>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</si>
  <si>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</si>
  <si>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</si>
  <si>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</si>
  <si>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</si>
  <si>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</si>
  <si>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</si>
  <si>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</si>
  <si>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</si>
  <si>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</si>
  <si>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</si>
  <si>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</si>
  <si>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</si>
  <si>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</si>
  <si>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</si>
  <si>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</si>
  <si>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</si>
  <si>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</si>
  <si>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</si>
  <si>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</si>
  <si>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</si>
  <si>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</si>
  <si>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</si>
  <si>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</si>
  <si>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</si>
  <si>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</si>
  <si>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</si>
  <si>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</si>
  <si>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</si>
  <si>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</si>
  <si>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</si>
  <si>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</si>
  <si>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</si>
  <si>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</si>
  <si>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</si>
  <si>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</si>
  <si>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</si>
  <si>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</si>
  <si>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</si>
  <si>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</si>
  <si>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</si>
  <si>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</si>
  <si>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</si>
  <si>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</si>
  <si>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</si>
  <si>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</si>
  <si>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</si>
  <si>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</si>
  <si>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</si>
  <si>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</si>
  <si>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</si>
  <si>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</si>
  <si>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</si>
  <si>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</si>
  <si>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</si>
  <si>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</si>
  <si>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</si>
  <si>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</si>
  <si>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</si>
  <si>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</si>
  <si>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</si>
  <si>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</si>
  <si>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</si>
  <si>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</si>
  <si>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</si>
  <si>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</si>
  <si>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</si>
  <si>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</si>
  <si>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</si>
  <si>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</si>
  <si>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</si>
  <si>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</si>
  <si>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</si>
  <si>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</si>
  <si>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</si>
  <si>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</si>
  <si>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</si>
  <si>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</si>
  <si>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</si>
  <si>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</si>
  <si>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</si>
  <si>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</si>
  <si>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</si>
  <si>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</si>
  <si>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</si>
  <si>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</si>
  <si>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</si>
  <si>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</si>
  <si>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</si>
  <si>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</si>
  <si>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</si>
  <si>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</si>
  <si>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</si>
  <si>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</si>
  <si>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</si>
  <si>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</si>
  <si>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</si>
  <si>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</si>
  <si>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</si>
  <si>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</si>
  <si>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</si>
  <si>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</si>
  <si>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</si>
  <si>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</si>
  <si>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</si>
  <si>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</si>
  <si>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</si>
  <si>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</si>
  <si>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</si>
  <si>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</si>
  <si>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</si>
  <si>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</si>
  <si>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</si>
  <si>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</si>
  <si>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</si>
  <si>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</si>
  <si>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</si>
  <si>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</si>
  <si>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</si>
  <si>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</si>
  <si>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</si>
  <si>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</si>
  <si>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</si>
  <si>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</si>
  <si>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</si>
  <si>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</si>
  <si>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</si>
  <si>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</si>
  <si>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</si>
  <si>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</si>
  <si>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</si>
  <si>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</si>
  <si>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</si>
  <si>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</si>
  <si>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</si>
  <si>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</si>
  <si>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</si>
  <si>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</si>
  <si>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</si>
  <si>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</si>
  <si>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</si>
  <si>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</si>
  <si>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</si>
  <si>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</si>
  <si>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</si>
  <si>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</si>
  <si>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</si>
  <si>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</si>
  <si>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</si>
  <si>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</si>
  <si>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</si>
  <si>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</si>
  <si>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</si>
  <si>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</si>
  <si>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</si>
  <si>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</si>
  <si>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</si>
  <si>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</si>
  <si>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</si>
  <si>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</si>
  <si>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</si>
  <si>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</si>
  <si>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</si>
  <si>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</si>
  <si>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</si>
  <si>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</si>
  <si>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</si>
  <si>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</si>
  <si>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</si>
  <si>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</si>
  <si>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</si>
  <si>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</si>
  <si>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</si>
  <si>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</si>
  <si>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</si>
  <si>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</si>
  <si>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</si>
  <si>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</si>
  <si>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</si>
  <si>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</si>
  <si>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</si>
  <si>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</si>
  <si>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</si>
  <si>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</si>
  <si>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</si>
  <si>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</si>
  <si>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</si>
  <si>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</si>
  <si>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</si>
  <si>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</si>
  <si>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</si>
  <si>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</si>
  <si>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</si>
  <si>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</si>
  <si>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</si>
  <si>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</si>
  <si>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</si>
  <si>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</si>
  <si>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</si>
  <si>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</si>
  <si>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</si>
  <si>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</si>
  <si>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</si>
  <si>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</si>
  <si>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</si>
  <si>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</si>
  <si>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</si>
  <si>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</si>
  <si>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</si>
  <si>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</si>
  <si>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</si>
  <si>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</si>
  <si>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</si>
  <si>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</si>
  <si>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</si>
  <si>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</si>
  <si>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</si>
  <si>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</si>
  <si>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</si>
  <si>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</si>
  <si>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</si>
  <si>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</si>
  <si>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</si>
  <si>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</si>
  <si>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</si>
  <si>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</si>
  <si>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</si>
  <si>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</si>
  <si>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</si>
  <si>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</si>
  <si>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</si>
  <si>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</si>
  <si>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</si>
  <si>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</si>
  <si>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</si>
  <si>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</si>
  <si>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</si>
  <si>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</si>
  <si>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</si>
  <si>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</si>
  <si>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</si>
  <si>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</si>
  <si>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</si>
  <si>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</si>
  <si>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</si>
  <si>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</si>
  <si>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</si>
  <si>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</si>
  <si>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</si>
  <si>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</si>
  <si>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</si>
  <si>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</si>
  <si>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</si>
  <si>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</si>
  <si>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</si>
  <si>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</si>
  <si>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</si>
  <si>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</si>
  <si>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</si>
  <si>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</si>
  <si>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</si>
  <si>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</si>
  <si>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</si>
  <si>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</si>
  <si>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</si>
  <si>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</si>
  <si>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</si>
  <si>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</si>
  <si>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</si>
  <si>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</si>
  <si>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</si>
  <si>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</si>
  <si>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</si>
  <si>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</si>
  <si>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</si>
  <si>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</si>
  <si>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</si>
  <si>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</si>
  <si>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</si>
  <si>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</si>
  <si>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</si>
  <si>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</si>
  <si>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</si>
  <si>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</si>
  <si>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</si>
  <si>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</si>
  <si>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</si>
  <si>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</si>
  <si>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</si>
  <si>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</si>
  <si>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</si>
  <si>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</si>
  <si>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</si>
  <si>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</si>
  <si>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</si>
  <si>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</si>
  <si>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</si>
  <si>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</si>
  <si>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</si>
  <si>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</si>
  <si>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</si>
  <si>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</si>
  <si>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</si>
  <si>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</si>
  <si>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</si>
  <si>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</si>
  <si>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</si>
  <si>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</si>
  <si>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</si>
  <si>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</si>
  <si>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</si>
  <si>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</si>
  <si>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</si>
  <si>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</si>
  <si>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</si>
  <si>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</si>
  <si>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</si>
  <si>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</si>
  <si>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</si>
  <si>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</si>
  <si>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</si>
  <si>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</si>
  <si>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</si>
  <si>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</si>
  <si>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</si>
  <si>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</si>
  <si>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</si>
  <si>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</si>
  <si>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</si>
  <si>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</si>
  <si>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</si>
  <si>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</si>
  <si>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</si>
  <si>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</si>
  <si>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</si>
  <si>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</si>
  <si>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</si>
  <si>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</si>
  <si>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</si>
  <si>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</si>
  <si>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</si>
  <si>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</si>
  <si>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</si>
  <si>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</si>
  <si>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</si>
  <si>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</si>
  <si>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</si>
  <si>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</si>
  <si>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</si>
  <si>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</si>
  <si>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</si>
  <si>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</si>
  <si>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</si>
  <si>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</si>
  <si>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</si>
  <si>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</si>
  <si>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</si>
  <si>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</si>
  <si>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</si>
  <si>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</si>
  <si>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</si>
  <si>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</si>
  <si>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</si>
  <si>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</si>
  <si>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</si>
  <si>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</si>
  <si>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</si>
  <si>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</si>
  <si>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</si>
  <si>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</si>
  <si>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</si>
  <si>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</si>
  <si>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</si>
  <si>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</si>
  <si>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</si>
  <si>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</si>
  <si>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</si>
  <si>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</si>
  <si>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</si>
  <si>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</si>
  <si>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</si>
  <si>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</si>
  <si>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</si>
  <si>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</si>
  <si>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</si>
  <si>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</si>
  <si>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</si>
  <si>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</si>
  <si>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</si>
  <si>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</si>
  <si>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</si>
  <si>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</si>
  <si>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</si>
  <si>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</si>
  <si>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</si>
  <si>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</si>
  <si>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</si>
  <si>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</si>
  <si>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</si>
  <si>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</si>
  <si>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</si>
  <si>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</si>
  <si>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</si>
  <si>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</si>
  <si>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</si>
  <si>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</si>
  <si>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</si>
  <si>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</si>
  <si>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</si>
  <si>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</si>
  <si>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</si>
  <si>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</si>
  <si>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</si>
  <si>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</si>
  <si>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</si>
  <si>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</si>
  <si>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</si>
  <si>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</si>
  <si>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</si>
  <si>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</si>
  <si>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</si>
  <si>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</si>
  <si>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</si>
  <si>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</si>
  <si>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</si>
  <si>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</si>
  <si>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</si>
  <si>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</si>
  <si>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</si>
  <si>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</si>
  <si>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</si>
  <si>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</si>
  <si>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</si>
  <si>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</si>
  <si>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</si>
  <si>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</si>
  <si>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</si>
  <si>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</si>
  <si>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</si>
  <si>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</si>
  <si>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</si>
  <si>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</si>
  <si>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</si>
  <si>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</si>
  <si>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</si>
  <si>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</si>
  <si>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</si>
  <si>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</si>
  <si>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</si>
  <si>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</si>
  <si>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</si>
  <si>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</si>
  <si>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</si>
  <si>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</si>
  <si>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</si>
  <si>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</si>
  <si>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</si>
  <si>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</si>
  <si>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</si>
  <si>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</si>
  <si>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</si>
  <si>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</si>
  <si>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</si>
  <si>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</si>
  <si>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</si>
  <si>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</si>
  <si>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</si>
  <si>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</si>
  <si>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</si>
  <si>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</si>
  <si>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</si>
  <si>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</si>
  <si>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</si>
  <si>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</si>
  <si>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</si>
  <si>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</si>
  <si>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</si>
  <si>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</si>
  <si>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</si>
  <si>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</si>
  <si>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</si>
  <si>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</si>
  <si>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</si>
  <si>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</si>
  <si>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</si>
  <si>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</si>
  <si>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</si>
  <si>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</si>
  <si>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</si>
  <si>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</si>
  <si>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</si>
  <si>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</si>
  <si>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</si>
  <si>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</si>
  <si>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</si>
  <si>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</si>
  <si>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</si>
  <si>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</si>
  <si>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</si>
  <si>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</si>
  <si>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</si>
  <si>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</si>
  <si>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</si>
  <si>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</si>
  <si>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</si>
  <si>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</si>
  <si>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</si>
  <si>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</si>
  <si>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</si>
  <si>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</si>
  <si>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</si>
  <si>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</si>
  <si>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</si>
  <si>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</si>
  <si>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</si>
  <si>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</si>
  <si>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</si>
  <si>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</si>
  <si>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</si>
  <si>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</si>
  <si>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</si>
  <si>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</si>
  <si>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</si>
  <si>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</si>
  <si>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</si>
  <si>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</si>
  <si>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</si>
  <si>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</si>
  <si>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</si>
  <si>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</si>
  <si>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</si>
  <si>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</si>
  <si>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</si>
  <si>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</si>
  <si>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</si>
  <si>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</si>
  <si>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</si>
  <si>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</si>
  <si>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</si>
  <si>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</si>
  <si>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</si>
  <si>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</si>
  <si>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</si>
  <si>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</si>
  <si>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</si>
  <si>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</si>
  <si>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</si>
  <si>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</si>
  <si>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</si>
  <si>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</si>
  <si>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</si>
  <si>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</si>
  <si>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</si>
  <si>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</si>
  <si>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</si>
  <si>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</si>
  <si>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</si>
  <si>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</si>
  <si>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</si>
  <si>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</si>
  <si>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</si>
  <si>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</si>
  <si>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</si>
  <si>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</si>
  <si>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</si>
  <si>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</si>
  <si>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</si>
  <si>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</si>
  <si>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</si>
  <si>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</si>
  <si>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</si>
  <si>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</si>
  <si>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</si>
  <si>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</si>
  <si>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</si>
  <si>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</si>
  <si>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</si>
  <si>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</si>
  <si>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</si>
  <si>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</si>
  <si>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</si>
  <si>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</si>
  <si>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</si>
  <si>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</si>
  <si>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</si>
  <si>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</si>
  <si>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</si>
  <si>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</si>
  <si>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</si>
  <si>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</si>
  <si>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</si>
  <si>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</si>
  <si>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</si>
  <si>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</si>
  <si>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</si>
  <si>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</si>
  <si>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</si>
  <si>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</si>
  <si>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</si>
  <si>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</si>
  <si>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</si>
  <si>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</si>
  <si>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</si>
  <si>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</si>
  <si>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</si>
  <si>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</si>
  <si>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</si>
  <si>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</si>
  <si>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</si>
  <si>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</si>
  <si>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</si>
  <si>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</si>
  <si>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</si>
  <si>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</si>
  <si>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</si>
  <si>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</si>
  <si>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</si>
  <si>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</si>
  <si>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</si>
  <si>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</si>
  <si>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</si>
  <si>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</si>
  <si>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</si>
  <si>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</si>
  <si>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</si>
  <si>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</si>
  <si>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</si>
  <si>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</si>
  <si>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</si>
  <si>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</si>
  <si>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</si>
  <si>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</si>
  <si>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</si>
  <si>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</si>
  <si>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</si>
  <si>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</si>
  <si>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</si>
  <si>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</si>
  <si>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</si>
  <si>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</si>
  <si>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</si>
  <si>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</si>
  <si>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</si>
  <si>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</si>
  <si>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</si>
  <si>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</si>
  <si>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</si>
  <si>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</si>
  <si>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</si>
  <si>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</si>
  <si>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</si>
  <si>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</si>
  <si>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</si>
  <si>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</si>
  <si>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</si>
  <si>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</si>
  <si>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</si>
  <si>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</si>
  <si>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</si>
  <si>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</si>
  <si>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</si>
  <si>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</si>
  <si>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</si>
  <si>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</si>
  <si>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</si>
  <si>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</si>
  <si>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</si>
  <si>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</si>
  <si>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</si>
  <si>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</si>
  <si>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</si>
  <si>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</si>
  <si>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</si>
  <si>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</si>
  <si>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</si>
  <si>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</si>
  <si>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</si>
  <si>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</si>
  <si>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</si>
  <si>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</si>
  <si>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</si>
  <si>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</si>
  <si>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</si>
  <si>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</si>
  <si>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</si>
  <si>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</si>
  <si>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</si>
  <si>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</si>
  <si>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</si>
  <si>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</si>
  <si>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</si>
  <si>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</si>
  <si>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</si>
  <si>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</si>
  <si>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</si>
  <si>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</si>
  <si>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</si>
  <si>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</si>
  <si>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</si>
  <si>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</si>
  <si>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</si>
  <si>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</si>
  <si>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</si>
  <si>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</si>
  <si>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</si>
  <si>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</si>
  <si>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</si>
  <si>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</si>
  <si>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</si>
  <si>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</si>
  <si>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</si>
  <si>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</si>
  <si>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</si>
  <si>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</si>
  <si>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</si>
  <si>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</si>
  <si>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</si>
  <si>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</si>
  <si>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</si>
  <si>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</si>
  <si>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</si>
  <si>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</si>
  <si>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</si>
  <si>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</si>
  <si>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</si>
  <si>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</si>
  <si>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</si>
  <si>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</si>
  <si>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</si>
  <si>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</si>
  <si>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</si>
  <si>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</si>
  <si>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</si>
  <si>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</si>
  <si>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</si>
  <si>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</si>
  <si>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</si>
  <si>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</si>
  <si>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</si>
  <si>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</si>
  <si>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</si>
  <si>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</si>
  <si>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</si>
  <si>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</si>
  <si>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</si>
  <si>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</si>
  <si>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</si>
  <si>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</si>
  <si>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</si>
  <si>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</si>
  <si>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</si>
  <si>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</si>
  <si>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</si>
  <si>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</si>
  <si>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</si>
  <si>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</si>
  <si>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</si>
  <si>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</si>
  <si>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</si>
  <si>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</si>
  <si>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</si>
  <si>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</si>
  <si>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</si>
  <si>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</si>
  <si>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</si>
  <si>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</si>
  <si>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</si>
  <si>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</si>
  <si>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</si>
  <si>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</si>
  <si>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</si>
  <si>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</si>
  <si>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</si>
  <si>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</si>
  <si>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</si>
  <si>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</si>
  <si>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</si>
  <si>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</si>
  <si>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</si>
  <si>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</si>
  <si>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</si>
  <si>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</si>
  <si>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</si>
  <si>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</si>
  <si>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</si>
  <si>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</si>
  <si>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</si>
  <si>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</si>
  <si>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</si>
  <si>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</si>
  <si>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</si>
  <si>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</si>
  <si>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</si>
  <si>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</si>
  <si>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</si>
  <si>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</si>
  <si>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</si>
  <si>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</si>
  <si>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</si>
  <si>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</si>
  <si>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</si>
  <si>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</si>
  <si>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</si>
  <si>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</si>
  <si>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</si>
  <si>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</si>
  <si>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</si>
  <si>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</si>
  <si>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</si>
  <si>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</si>
  <si>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</si>
  <si>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</si>
  <si>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</si>
  <si>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</si>
  <si>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</si>
  <si>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</si>
  <si>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</si>
  <si>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</si>
  <si>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</si>
  <si>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</si>
  <si>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</si>
  <si>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</si>
  <si>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</si>
  <si>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</si>
  <si>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</si>
  <si>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</si>
  <si>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</si>
  <si>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</si>
  <si>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</si>
  <si>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</si>
  <si>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</si>
  <si>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</si>
  <si>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</si>
  <si>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</si>
  <si>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</si>
  <si>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</si>
  <si>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</si>
  <si>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</si>
  <si>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</si>
  <si>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</si>
  <si>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</si>
  <si>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</si>
  <si>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</si>
  <si>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</si>
  <si>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</si>
  <si>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</si>
  <si>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</si>
  <si>
    <t>Воздуховод круглый пластиковый 100 мм х 1 м 10ВП1 ERA</t>
  </si>
  <si>
    <t>Воздуховод круглый пластиковый 100 мм х 1,5 м 10ВП1,5 ERA</t>
  </si>
  <si>
    <t>соединитель фасонных элементов (отрезок канала) fc d100 пластик ЭРА</t>
  </si>
  <si>
    <t xml:space="preserve">гильза медная лужённая гмл 6-4 10 шт </t>
  </si>
  <si>
    <t xml:space="preserve">гильза медная лужённая гмл 10-5 10 шт </t>
  </si>
  <si>
    <t>труба металопластиковая pex-al-pex 20x2.0 valtec 50 метров</t>
  </si>
  <si>
    <t>ООО "Контур Лидер" контуртерм</t>
  </si>
  <si>
    <t>котёл газовый двухконтурный Haier TechLine S 2.24 TW 3,4-23,9 кВт (закрытая камера сгорания)</t>
  </si>
  <si>
    <t>вывоз мусора</t>
  </si>
  <si>
    <t xml:space="preserve"> Авито Семён</t>
  </si>
  <si>
    <t>прокат - аренда пресс клещей Valtec</t>
  </si>
  <si>
    <t>тройник-пресс D20 sempiter icma 5 шт</t>
  </si>
  <si>
    <t>тройник канализационный D50/50 mm угол 45 ртп</t>
  </si>
  <si>
    <t>гильза медная лужённая гмл 10-5 10 шт.\упак DORI</t>
  </si>
  <si>
    <t>Колено канализационное d50мм угол 45° РТП</t>
  </si>
  <si>
    <t>труба канализационная 50 х 250 х 1,8 мм РТП</t>
  </si>
  <si>
    <t>крестовина канализационная одноплоскостная D110/50/50 mm угол 90, РТП</t>
  </si>
  <si>
    <t>труба канализационная 50х500х1,8 мм ртп</t>
  </si>
  <si>
    <t>труба металлопластиковая pex-al-pex 20x2 valtec 24 метра</t>
  </si>
  <si>
    <t>калибр для металлопластиковой трубы 16-20-26 с ножами для снятия фаски Valtec</t>
  </si>
  <si>
    <t>рулетка 5м х 25 мм  Dorn + пружина для металлопласт 16 и 20 мм</t>
  </si>
  <si>
    <t>Эмаль-спрей акриловая color art 520ml ral7024 - 2 шт</t>
  </si>
  <si>
    <t>шайба оцинк  м8 - 20шт</t>
  </si>
  <si>
    <t>болт с шестигран головкой оцинк м8х50мм 8шт</t>
  </si>
  <si>
    <t>коронка bi-metal 8% по металлу/дереву 102мм dorn 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</si>
</sst>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29" totalsRowCount="1">
  <autoFilter ref="B5:F628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29"/>
  <sheetViews>
    <sheetView tabSelected="1" topLeftCell="A598" workbookViewId="0">
      <selection activeCell="E625" sqref="E625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C598" t="s">
        <v>1001</v>
      </c>
      <c r="D598" s="7">
        <v>507.98</v>
      </c>
      <c r="E598" t="s">
        <v>885</v>
      </c>
      <c r="F598" s="9">
        <v>46304</v>
      </c>
    </row>
    <row r="599" spans="3:6">
      <c r="C599" t="s">
        <v>1002</v>
      </c>
      <c r="D599" s="7">
        <v>536.25</v>
      </c>
      <c r="E599" t="s">
        <v>885</v>
      </c>
      <c r="F599" s="9">
        <v>46304</v>
      </c>
    </row>
    <row r="600" spans="3:6">
      <c r="C600" t="s">
        <v>1003</v>
      </c>
      <c r="D600" s="7">
        <v>84.82</v>
      </c>
      <c r="E600" t="s">
        <v>885</v>
      </c>
      <c r="F600" s="9">
        <v>46304</v>
      </c>
    </row>
    <row r="601" spans="3:6">
      <c r="C601" t="s">
        <v>1004</v>
      </c>
      <c r="D601" s="7">
        <v>206.4</v>
      </c>
      <c r="E601" t="s">
        <v>885</v>
      </c>
      <c r="F601" s="9">
        <v>46304</v>
      </c>
    </row>
    <row r="602" spans="3:6">
      <c r="C602" t="s">
        <v>1005</v>
      </c>
      <c r="D602" s="7">
        <v>300.64</v>
      </c>
      <c r="E602" t="s">
        <v>885</v>
      </c>
      <c r="F602" s="9">
        <v>46304</v>
      </c>
    </row>
    <row r="603" spans="3:6">
      <c r="C603" t="s">
        <v>1006</v>
      </c>
      <c r="D603" s="7">
        <f>6607.56+1450.35</f>
        <v>8057.91</v>
      </c>
      <c r="E603" t="s">
        <v>885</v>
      </c>
      <c r="F603" s="9">
        <v>46304</v>
      </c>
    </row>
    <row r="604" spans="3:6">
      <c r="C604" t="s">
        <v>1008</v>
      </c>
      <c r="D604" s="7">
        <v>78142</v>
      </c>
      <c r="E604" t="s">
        <v>1007</v>
      </c>
      <c r="F604" s="9">
        <v>46306</v>
      </c>
    </row>
    <row r="605" spans="3:6">
      <c r="C605" t="s">
        <v>1021</v>
      </c>
      <c r="D605" s="7">
        <v>1039</v>
      </c>
      <c r="E605" t="s">
        <v>885</v>
      </c>
      <c r="F605" s="9">
        <v>46307</v>
      </c>
    </row>
    <row r="606" spans="3:6">
      <c r="C606" t="s">
        <v>1009</v>
      </c>
      <c r="D606" s="7">
        <v>10000</v>
      </c>
      <c r="E606" t="s">
        <v>1010</v>
      </c>
      <c r="F606" s="9">
        <v>46307</v>
      </c>
    </row>
    <row r="607" spans="3:6">
      <c r="C607" t="s">
        <v>1011</v>
      </c>
      <c r="D607" s="7">
        <v>400</v>
      </c>
      <c r="E607" t="s">
        <v>885</v>
      </c>
      <c r="F607" s="9">
        <v>46308</v>
      </c>
    </row>
    <row r="608" spans="3:6">
      <c r="C608" t="s">
        <v>1012</v>
      </c>
      <c r="D608" s="7">
        <f>5*789</f>
        <v>3945</v>
      </c>
      <c r="E608" t="s">
        <v>885</v>
      </c>
      <c r="F608" s="9">
        <v>46308</v>
      </c>
    </row>
    <row r="609" spans="3:6">
      <c r="C609" t="s">
        <v>1013</v>
      </c>
      <c r="D609" s="7">
        <v>75</v>
      </c>
      <c r="E609" t="s">
        <v>885</v>
      </c>
      <c r="F609" s="9">
        <v>46308</v>
      </c>
    </row>
    <row r="610" spans="3:6">
      <c r="C610" t="s">
        <v>1014</v>
      </c>
      <c r="D610" s="7">
        <v>319</v>
      </c>
      <c r="E610" t="s">
        <v>885</v>
      </c>
      <c r="F610" s="9">
        <v>46308</v>
      </c>
    </row>
    <row r="611" spans="3:6">
      <c r="C611" t="s">
        <v>1015</v>
      </c>
      <c r="D611" s="7">
        <v>44</v>
      </c>
      <c r="E611" t="s">
        <v>885</v>
      </c>
      <c r="F611" s="9">
        <v>46308</v>
      </c>
    </row>
    <row r="612" spans="3:6">
      <c r="C612" t="s">
        <v>1016</v>
      </c>
      <c r="D612" s="7">
        <v>69</v>
      </c>
      <c r="E612" t="s">
        <v>885</v>
      </c>
      <c r="F612" s="9">
        <v>46308</v>
      </c>
    </row>
    <row r="613" spans="3:6">
      <c r="C613" t="s">
        <v>1017</v>
      </c>
      <c r="D613" s="7">
        <v>419</v>
      </c>
      <c r="E613" t="s">
        <v>885</v>
      </c>
      <c r="F613" s="9">
        <v>46308</v>
      </c>
    </row>
    <row r="614" spans="3:6">
      <c r="C614" t="s">
        <v>1018</v>
      </c>
      <c r="D614" s="7">
        <f>2*93</f>
        <v>186</v>
      </c>
      <c r="E614" t="s">
        <v>885</v>
      </c>
      <c r="F614" s="9">
        <v>46308</v>
      </c>
    </row>
    <row r="615" spans="3:6">
      <c r="C615" t="s">
        <v>1019</v>
      </c>
      <c r="D615" s="7">
        <f>161.23*24</f>
        <v>3869.5199999999995</v>
      </c>
      <c r="E615" t="s">
        <v>885</v>
      </c>
      <c r="F615" s="9">
        <v>46311</v>
      </c>
    </row>
    <row r="616" spans="3:6">
      <c r="C616" t="s">
        <v>1020</v>
      </c>
      <c r="D616" s="7">
        <v>205.54</v>
      </c>
      <c r="E616" t="s">
        <v>885</v>
      </c>
      <c r="F616" s="9">
        <v>46311</v>
      </c>
    </row>
    <row r="617" spans="3:6">
      <c r="C617" t="s">
        <v>1022</v>
      </c>
      <c r="D617" s="7">
        <f>255.23 * 2</f>
        <v>510.46</v>
      </c>
      <c r="E617" t="s">
        <v>885</v>
      </c>
      <c r="F617" s="9">
        <v>46314</v>
      </c>
    </row>
    <row r="618" spans="3:6">
      <c r="C618" t="s">
        <v>1023</v>
      </c>
      <c r="D618" s="7">
        <v>65.87</v>
      </c>
      <c r="E618" t="s">
        <v>885</v>
      </c>
      <c r="F618" s="9">
        <v>46314</v>
      </c>
    </row>
    <row r="619" spans="3:6">
      <c r="C619" t="s">
        <v>805</v>
      </c>
      <c r="D619" s="7">
        <v>72.27</v>
      </c>
      <c r="E619" t="s">
        <v>885</v>
      </c>
      <c r="F619" s="9">
        <v>46314</v>
      </c>
    </row>
    <row r="620" spans="3:6">
      <c r="C620" t="s">
        <v>1024</v>
      </c>
      <c r="D620" s="7">
        <f>52.15 * 2</f>
        <v>104.3</v>
      </c>
      <c r="E620" t="s">
        <v>885</v>
      </c>
      <c r="F620" s="9">
        <v>46314</v>
      </c>
    </row>
    <row r="621" spans="3:6">
      <c r="C621" t="s">
        <v>1025</v>
      </c>
      <c r="D621" s="7">
        <v>997.12</v>
      </c>
      <c r="E621" t="s">
        <v>885</v>
      </c>
      <c r="F621" s="9">
        <v>46314</v>
      </c>
    </row>
    <row r="622" spans="3:6">
      <c r="D622" s="7"/>
      <c r="F622" s="9"/>
    </row>
    <row r="623" spans="3:6">
      <c r="D623" s="7"/>
      <c r="F623" s="9"/>
    </row>
    <row r="624" spans="3:6">
      <c r="D624" s="7"/>
      <c r="F624" s="9"/>
    </row>
    <row r="625" spans="4:6">
      <c r="D625" s="7"/>
      <c r="F625" s="9"/>
    </row>
    <row r="626" spans="4:6">
      <c r="D626" s="7"/>
      <c r="F626" s="9"/>
    </row>
    <row r="627" spans="4:6">
      <c r="D627" s="7"/>
      <c r="F627" s="9"/>
    </row>
    <row r="628" spans="4:6">
      <c r="D628" s="7"/>
      <c r="F628" s="9"/>
    </row>
    <row r="629" spans="4:6">
      <c r="D629" s="7">
        <f>SUBTOTAL(109,Таблица4[Цена (руб)])</f>
        <v>6574024.6400000006</v>
      </c>
      <c r="F62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2026-10-19T18:48:43Z</dcterms:modified>
</cp:coreProperties>
</file>