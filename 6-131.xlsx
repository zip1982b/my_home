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ilding\my_home\"/>
    </mc:Choice>
  </mc:AlternateContent>
  <bookViews>
    <workbookView xWindow="0" yWindow="0" windowWidth="25320" windowHeight="8145" activeTab="1"/>
  </bookViews>
  <sheets>
    <sheet name="Расчёт колличества бетона " sheetId="2" r:id="rId1"/>
    <sheet name="Покупки для дома" sheetId="6" r:id="rId2"/>
    <sheet name="расчёт труб отопления" sheetId="18" r:id="rId3"/>
    <sheet name="Лист1" sheetId="19" r:id="rId4"/>
    <sheet name="расчёт площади утепления дома" sheetId="16" r:id="rId5"/>
    <sheet name="расчёт объёма бетона для мп1" sheetId="10" r:id="rId6"/>
    <sheet name="Расчёт балок перекрытия" sheetId="11" r:id="rId7"/>
    <sheet name="Материалы" sheetId="3" r:id="rId8"/>
    <sheet name="Расчёт арматуры" sheetId="9" r:id="rId9"/>
    <sheet name="Оси" sheetId="8" r:id="rId10"/>
    <sheet name="Высоты" sheetId="7" r:id="rId11"/>
    <sheet name="Розетки и освещение" sheetId="12" r:id="rId12"/>
    <sheet name="сравнение цен на 13_02_26" sheetId="13" r:id="rId13"/>
    <sheet name="котельная и вентиляция" sheetId="14" r:id="rId14"/>
    <sheet name="дерево заказ на 18 апр 2026" sheetId="15" r:id="rId15"/>
    <sheet name="расчёт кол-ва профилей оконных" sheetId="17" r:id="rId16"/>
  </sheets>
  <calcPr calcId="152511"/>
</workbook>
</file>

<file path=xl/calcChain.xml><?xml version="1.0" encoding="utf-8"?>
<calcChain xmlns="http://schemas.openxmlformats.org/spreadsheetml/2006/main">
  <c r="D603" i="6" l="1"/>
  <c r="L7" i="18" l="1"/>
  <c r="I492" i="6" l="1"/>
  <c r="D555" i="6" l="1"/>
  <c r="D548" i="6" l="1"/>
  <c r="D547" i="6"/>
  <c r="D545" i="6" l="1"/>
  <c r="D540" i="6" l="1"/>
  <c r="D537" i="6"/>
  <c r="D536" i="6"/>
  <c r="D535" i="6"/>
  <c r="D12" i="18" l="1"/>
  <c r="D11" i="18"/>
  <c r="D10" i="18"/>
  <c r="D9" i="18"/>
  <c r="D8" i="18"/>
  <c r="D7" i="18"/>
  <c r="D6" i="18"/>
  <c r="D5" i="18"/>
  <c r="D4" i="18"/>
  <c r="D13" i="18" l="1"/>
  <c r="F13" i="18" s="1"/>
  <c r="P3" i="17"/>
  <c r="P4" i="17"/>
  <c r="C18" i="17"/>
  <c r="F11" i="17"/>
  <c r="H11" i="17" s="1"/>
  <c r="F8" i="17"/>
  <c r="H8" i="17" s="1"/>
  <c r="F4" i="17"/>
  <c r="H4" i="17" s="1"/>
  <c r="P5" i="17" l="1"/>
  <c r="Q5" i="17" s="1"/>
  <c r="R5" i="17" s="1"/>
  <c r="H12" i="17"/>
  <c r="I12" i="17" s="1"/>
  <c r="J12" i="17" s="1"/>
  <c r="D531" i="6"/>
  <c r="D530" i="6"/>
  <c r="D528" i="6" l="1"/>
  <c r="D527" i="6"/>
  <c r="D526" i="6"/>
  <c r="D523" i="6"/>
  <c r="D522" i="6"/>
  <c r="F5" i="16" l="1"/>
  <c r="M13" i="16"/>
  <c r="M10" i="16"/>
  <c r="M7" i="16"/>
  <c r="M3" i="16"/>
  <c r="E6" i="16" s="1"/>
  <c r="F6" i="16" s="1"/>
  <c r="E3" i="16" l="1"/>
  <c r="F3" i="16" s="1"/>
  <c r="E4" i="16"/>
  <c r="F4" i="16" s="1"/>
  <c r="D504" i="6"/>
  <c r="I491" i="6" s="1"/>
  <c r="I493" i="6" l="1"/>
  <c r="I494" i="6"/>
  <c r="F7" i="16"/>
  <c r="D480" i="6"/>
  <c r="D475" i="6"/>
  <c r="D447" i="6" l="1"/>
  <c r="D446" i="6"/>
  <c r="D442" i="6" l="1"/>
  <c r="D436" i="6" l="1"/>
  <c r="D434" i="6"/>
  <c r="D433" i="6"/>
  <c r="D432" i="6"/>
  <c r="F19" i="15" l="1"/>
  <c r="E19" i="15"/>
  <c r="C72" i="12" l="1"/>
  <c r="C55" i="12"/>
  <c r="C48" i="12"/>
  <c r="C40" i="12"/>
  <c r="C32" i="12"/>
  <c r="C23" i="12"/>
  <c r="C15" i="12"/>
  <c r="H14" i="11" l="1"/>
  <c r="I3" i="11"/>
  <c r="G10" i="11"/>
  <c r="C16" i="10" l="1"/>
  <c r="H13" i="7" l="1"/>
  <c r="H8" i="7"/>
  <c r="H9" i="7" s="1"/>
  <c r="D8" i="9" l="1"/>
  <c r="D9" i="9" s="1"/>
  <c r="C8" i="9"/>
  <c r="C9" i="9" s="1"/>
  <c r="F22" i="8" l="1"/>
  <c r="B22" i="8"/>
  <c r="B10" i="8"/>
  <c r="F10" i="8"/>
  <c r="D612" i="6" l="1"/>
  <c r="H9" i="2" l="1"/>
  <c r="G9" i="2"/>
  <c r="F9" i="2"/>
  <c r="E9" i="2"/>
  <c r="D9" i="2"/>
  <c r="C9" i="2"/>
  <c r="I9" i="2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 l="1"/>
</calcChain>
</file>

<file path=xl/comments1.xml><?xml version="1.0" encoding="utf-8"?>
<comments xmlns="http://schemas.openxmlformats.org/spreadsheetml/2006/main">
  <authors>
    <author>Жан Бещанов</author>
  </authors>
  <commentList>
    <comment ref="C5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1390р - Dekraft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legrand
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EKF AVERES
1490р - Dekraft
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EKF AVERES
1490р - Dekraft
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1990р - ekf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1990р - ekf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Ящик навесной металлический 400х400х150 мм IP66 TDM ELECTRIC ЩМП-4.4.1-0
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Ящик навесной металлический 400х400х150 мм IP66 TDM ELECTRIC ЩМП-4.4.1-0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389р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389р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399р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399р
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+ 1790р гибкий вал.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  <charset val="204"/>
          </rPr>
          <t>Жан Бещанов:</t>
        </r>
        <r>
          <rPr>
            <sz val="9"/>
            <color indexed="81"/>
            <rFont val="Tahoma"/>
            <family val="2"/>
            <charset val="204"/>
          </rPr>
          <t xml:space="preserve">
+ 1790р гибкий вал.</t>
        </r>
      </text>
    </comment>
    <comment ref="J27" authorId="0" shapeId="0">
      <text>
        <r>
          <rPr>
            <b/>
            <sz val="9"/>
            <color indexed="81"/>
            <rFont val="Tahoma"/>
            <charset val="1"/>
          </rPr>
          <t>Жан Бещанов:</t>
        </r>
        <r>
          <rPr>
            <sz val="9"/>
            <color indexed="81"/>
            <rFont val="Tahoma"/>
            <charset val="1"/>
          </rPr>
          <t xml:space="preserve">
Щит металл. ЩРн -24з-0 IP54 IEK</t>
        </r>
      </text>
    </comment>
  </commentList>
</comments>
</file>

<file path=xl/sharedStrings.xml><?xml version="1.0" encoding="utf-8"?>
<sst xmlns="http://schemas.openxmlformats.org/spreadsheetml/2006/main" count="1654" uniqueCount="1009">
  <si>
    <t>№ п/п</t>
  </si>
  <si>
    <t>примечание</t>
  </si>
  <si>
    <t>Песок</t>
  </si>
  <si>
    <t>Газобетонный блок 375 мм</t>
  </si>
  <si>
    <t>Тип</t>
  </si>
  <si>
    <t>Количество (М3/шт)</t>
  </si>
  <si>
    <t>Примечание</t>
  </si>
  <si>
    <t>Сумма</t>
  </si>
  <si>
    <t>Цена  (м3 или штук)</t>
  </si>
  <si>
    <t>Наружные стены. Данные взяты из проекта и сайта поставщика AeroBlock стеновой D500, 375х250х600</t>
  </si>
  <si>
    <r>
      <t>Внутренние стены. AeroBlock стеновой D500,</t>
    </r>
    <r>
      <rPr>
        <sz val="11"/>
        <color rgb="FFFF0000"/>
        <rFont val="Calibri"/>
        <family val="2"/>
        <charset val="204"/>
        <scheme val="minor"/>
      </rPr>
      <t xml:space="preserve"> 240х250х600</t>
    </r>
  </si>
  <si>
    <r>
      <t xml:space="preserve">Газобетонный блок </t>
    </r>
    <r>
      <rPr>
        <sz val="11"/>
        <color rgb="FFFF0000"/>
        <rFont val="Calibri"/>
        <family val="2"/>
        <charset val="204"/>
        <scheme val="minor"/>
      </rPr>
      <t>250</t>
    </r>
    <r>
      <rPr>
        <sz val="11"/>
        <color theme="1"/>
        <rFont val="Calibri"/>
        <family val="2"/>
        <charset val="204"/>
        <scheme val="minor"/>
      </rPr>
      <t xml:space="preserve"> мм</t>
    </r>
  </si>
  <si>
    <r>
      <t xml:space="preserve">Газобетонный блок </t>
    </r>
    <r>
      <rPr>
        <sz val="11"/>
        <color rgb="FFFF0000"/>
        <rFont val="Calibri"/>
        <family val="2"/>
        <charset val="204"/>
        <scheme val="minor"/>
      </rPr>
      <t>150</t>
    </r>
    <r>
      <rPr>
        <sz val="11"/>
        <color theme="1"/>
        <rFont val="Calibri"/>
        <family val="2"/>
        <charset val="204"/>
        <scheme val="minor"/>
      </rPr>
      <t xml:space="preserve"> мм</t>
    </r>
  </si>
  <si>
    <t>AeroBlock перегородочный D500, 150х250х600</t>
  </si>
  <si>
    <t>U - блоки 375 мм</t>
  </si>
  <si>
    <t xml:space="preserve">137 штук. </t>
  </si>
  <si>
    <r>
      <t xml:space="preserve">12 штук. U-блок </t>
    </r>
    <r>
      <rPr>
        <sz val="11"/>
        <color rgb="FFFF0000"/>
        <rFont val="Calibri"/>
        <family val="2"/>
        <charset val="204"/>
        <scheme val="minor"/>
      </rPr>
      <t>240</t>
    </r>
    <r>
      <rPr>
        <sz val="11"/>
        <color theme="1"/>
        <rFont val="Calibri"/>
        <family val="2"/>
        <charset val="204"/>
        <scheme val="minor"/>
      </rPr>
      <t>x250x600</t>
    </r>
  </si>
  <si>
    <r>
      <t xml:space="preserve">U - блоки </t>
    </r>
    <r>
      <rPr>
        <sz val="11"/>
        <color rgb="FFFF0000"/>
        <rFont val="Calibri"/>
        <family val="2"/>
        <charset val="204"/>
        <scheme val="minor"/>
      </rPr>
      <t>250</t>
    </r>
    <r>
      <rPr>
        <sz val="11"/>
        <color theme="1"/>
        <rFont val="Calibri"/>
        <family val="2"/>
        <charset val="204"/>
        <scheme val="minor"/>
      </rPr>
      <t xml:space="preserve"> мм</t>
    </r>
  </si>
  <si>
    <t>Итого:</t>
  </si>
  <si>
    <t>ЭППС 100мм</t>
  </si>
  <si>
    <t>м3 в проекте. Пока не пойму где используется. Бауцентр - 966 р/шт. Леруа - 880 р/шт.</t>
  </si>
  <si>
    <t>Арматура 12-А 500 С</t>
  </si>
  <si>
    <t>Бетонная смесь В20-В25</t>
  </si>
  <si>
    <t>Стоимость материалов (предварительная) на 26 февраля 2024 года.</t>
  </si>
  <si>
    <t>Брус 100х200</t>
  </si>
  <si>
    <t>Брус 150х150</t>
  </si>
  <si>
    <t>Доска 50х200</t>
  </si>
  <si>
    <t>Брус 50х150</t>
  </si>
  <si>
    <t>Брус 50х30</t>
  </si>
  <si>
    <t>Брус 50х50</t>
  </si>
  <si>
    <t>Доска 25х100</t>
  </si>
  <si>
    <t>Утеплитель 100 мм (стены) - 12.6 м3</t>
  </si>
  <si>
    <t>Утеплитель 200 мм (перекрытие) - 27 м3</t>
  </si>
  <si>
    <t>Металочерепица</t>
  </si>
  <si>
    <t>Арматура 10 мм</t>
  </si>
  <si>
    <t>Фиксатор арматуры</t>
  </si>
  <si>
    <t>https://www.glenar.ru/page/stoimost-i-sposoby-dostavki</t>
  </si>
  <si>
    <t>Цена (руб)</t>
  </si>
  <si>
    <t>Геотекстиль</t>
  </si>
  <si>
    <t>Грабли</t>
  </si>
  <si>
    <t xml:space="preserve">Наименование </t>
  </si>
  <si>
    <t>Земельный участок</t>
  </si>
  <si>
    <t xml:space="preserve">Арматура 12 мм </t>
  </si>
  <si>
    <t>на колья разметки периметра земельного участка и петна застройки дома</t>
  </si>
  <si>
    <t>Вынос границ земельного участка</t>
  </si>
  <si>
    <t>есть акт проведённых работ</t>
  </si>
  <si>
    <t>Проект одноэтажного дома</t>
  </si>
  <si>
    <t>6-131</t>
  </si>
  <si>
    <t>Грузовик песка</t>
  </si>
  <si>
    <t>оформление покупки земельного участка у нотариуса</t>
  </si>
  <si>
    <t>Стройка дома</t>
  </si>
  <si>
    <t>Договор с Росссети Янтарь на технологическое подключение</t>
  </si>
  <si>
    <t>ДОГОВОР № 1740/02/24</t>
  </si>
  <si>
    <t>25-28 тонн</t>
  </si>
  <si>
    <t>Невилир с треногой и линейкой</t>
  </si>
  <si>
    <t>Лазерный невилир</t>
  </si>
  <si>
    <t>Арматура стеклопластиковая 8 мм - 3 шт</t>
  </si>
  <si>
    <t>Для кольев (разметка фумента)</t>
  </si>
  <si>
    <t>Звёздочка 35 мм (6 упаковок - 300 шт)</t>
  </si>
  <si>
    <t>шнур полиамидный кручённый</t>
  </si>
  <si>
    <t>100 метров - для разметки фундамента</t>
  </si>
  <si>
    <t>Перчатки рабочие</t>
  </si>
  <si>
    <t>10 пар</t>
  </si>
  <si>
    <t>дата</t>
  </si>
  <si>
    <t>Ёмкость ПЭТ 215 литров - 1 шт</t>
  </si>
  <si>
    <t>бочка пластиковая, выписал на работе.</t>
  </si>
  <si>
    <t>Трубы прямоугольного сечения - 8 шт</t>
  </si>
  <si>
    <t>купил на 3 площадке</t>
  </si>
  <si>
    <t>Лазерный дальномер</t>
  </si>
  <si>
    <t>Лазерный дальномер MILESEEY, S2, 60 м</t>
  </si>
  <si>
    <t>10 тонн</t>
  </si>
  <si>
    <t>Гравий 20/40</t>
  </si>
  <si>
    <t>Бочка пластиковая 200 литров</t>
  </si>
  <si>
    <t>выписал на работе</t>
  </si>
  <si>
    <t>труба металическая 40х40 мм</t>
  </si>
  <si>
    <t>1,5м - 6 штук</t>
  </si>
  <si>
    <t>1 шт</t>
  </si>
  <si>
    <r>
      <t>Геотекстиль 200г/м</t>
    </r>
    <r>
      <rPr>
        <sz val="11"/>
        <color theme="1"/>
        <rFont val="Calibri"/>
        <family val="2"/>
        <charset val="204"/>
      </rPr>
      <t>² 3х10 м</t>
    </r>
  </si>
  <si>
    <t>1 шт. Бауентр</t>
  </si>
  <si>
    <r>
      <t>Геотекстиль 200г/м</t>
    </r>
    <r>
      <rPr>
        <sz val="11"/>
        <color theme="1"/>
        <rFont val="Calibri"/>
        <family val="2"/>
        <charset val="204"/>
      </rPr>
      <t>² 3х20 м</t>
    </r>
  </si>
  <si>
    <t>Доска 25х100х6000 - 24 500 р/м3</t>
  </si>
  <si>
    <t>Гвозди строительные 3х80 - 1 кг - 145 р</t>
  </si>
  <si>
    <t>Гвозди строительные 4х100 - 1 кг - 117 р</t>
  </si>
  <si>
    <t>2 кг</t>
  </si>
  <si>
    <t>шурупы 3,5х41</t>
  </si>
  <si>
    <t>шурупы 4,2х65</t>
  </si>
  <si>
    <t>вес</t>
  </si>
  <si>
    <t>2 шт</t>
  </si>
  <si>
    <t xml:space="preserve">доставка досок </t>
  </si>
  <si>
    <t>грузовое авто</t>
  </si>
  <si>
    <t>ведро, шурупы, плёнка</t>
  </si>
  <si>
    <t>Гвозди 4 кг + 2 сверла</t>
  </si>
  <si>
    <t>Строитель</t>
  </si>
  <si>
    <t>ОСБ 12 мм и 9 мм + доставка</t>
  </si>
  <si>
    <t>9мм - 690 р, 12мм - 940 р доставка 1500р с Поддубного</t>
  </si>
  <si>
    <t xml:space="preserve">садовая тачка + геотекстиль </t>
  </si>
  <si>
    <t>петли для ворот + замок накидной</t>
  </si>
  <si>
    <t>8 соток</t>
  </si>
  <si>
    <t>арматура 12мм + 8 мм</t>
  </si>
  <si>
    <t xml:space="preserve">Фиксаторы арматуры + проволока </t>
  </si>
  <si>
    <t>доставка арматуры</t>
  </si>
  <si>
    <t>услуги резки арматуры газом</t>
  </si>
  <si>
    <t>набор косаря</t>
  </si>
  <si>
    <t>веник</t>
  </si>
  <si>
    <t>петли</t>
  </si>
  <si>
    <t>крюк для завязки арматуры</t>
  </si>
  <si>
    <t>1 шт - Бауцентр</t>
  </si>
  <si>
    <t>мерлен</t>
  </si>
  <si>
    <t>диски для болгарки</t>
  </si>
  <si>
    <t>гвозди</t>
  </si>
  <si>
    <t>рукомойник</t>
  </si>
  <si>
    <t>(тд строитель)</t>
  </si>
  <si>
    <t>саморез по дереву</t>
  </si>
  <si>
    <t>2 пачки по 500 шт / 529.90 р/пачка (тд строитель)</t>
  </si>
  <si>
    <t>5 кг - 3.0х80мм</t>
  </si>
  <si>
    <t>7 шт (бауцентр) - 39р/шт</t>
  </si>
  <si>
    <t>2,52 м3 (ИП Лыков)</t>
  </si>
  <si>
    <t>брус 50х150х6000 - 24500 р/м3</t>
  </si>
  <si>
    <t>0,54 м3 (ИП Лыков)</t>
  </si>
  <si>
    <t>Александр от Алексея</t>
  </si>
  <si>
    <t>бензин Аи95</t>
  </si>
  <si>
    <t>ОСБ 9 мм + доставка (12 шт)</t>
  </si>
  <si>
    <t>670 р/1 осб, 1000 р доставка (Авито - Поддубное)</t>
  </si>
  <si>
    <t>шурупы 3,5х41 (1,74 кг)</t>
  </si>
  <si>
    <t>181 р/кг (Мерлен)</t>
  </si>
  <si>
    <t>Перчатки ХБ 10 пар</t>
  </si>
  <si>
    <t>Мерлен</t>
  </si>
  <si>
    <t>Гленар</t>
  </si>
  <si>
    <t>51 шт + 31 шт (12 метров) Гленар</t>
  </si>
  <si>
    <t>Алексей</t>
  </si>
  <si>
    <t>Доска 25х100х6000 - 23 500 р/м3</t>
  </si>
  <si>
    <t>1 куб (67 шт) ИП Лыков</t>
  </si>
  <si>
    <t>саморез по дереву 4,2х65 мм</t>
  </si>
  <si>
    <t>Гвозди оцинк. 4х120 мм</t>
  </si>
  <si>
    <t>3 кг (ок 990 шт) - Бауцентр</t>
  </si>
  <si>
    <t>3 кг (3 упаковки) - Бауцентр</t>
  </si>
  <si>
    <t xml:space="preserve"> б/у на Авито</t>
  </si>
  <si>
    <t>АлиЭкспресс</t>
  </si>
  <si>
    <t>10 литров (Сургут) - для безогенератора</t>
  </si>
  <si>
    <t>длина</t>
  </si>
  <si>
    <t>ширина</t>
  </si>
  <si>
    <t>высота</t>
  </si>
  <si>
    <t>Объём (м3)</t>
  </si>
  <si>
    <t>Южная сторона (м)</t>
  </si>
  <si>
    <t>Северная сторона (м)</t>
  </si>
  <si>
    <t>Восточная сторона (м)</t>
  </si>
  <si>
    <t>Западная сторона (м)</t>
  </si>
  <si>
    <t>внутр. Западная (м)</t>
  </si>
  <si>
    <t>внутр. Восточная (м)</t>
  </si>
  <si>
    <t>Итого (м3)</t>
  </si>
  <si>
    <t>закладные металлические гильзы в ленточный фундамент</t>
  </si>
  <si>
    <t>п. Люблино труба d=160 мм - 2 метра и труба 50х50</t>
  </si>
  <si>
    <t>Шуруповёрт ОАЗИС</t>
  </si>
  <si>
    <t>угольник алюминевый</t>
  </si>
  <si>
    <t>лом-гвоздедёр</t>
  </si>
  <si>
    <t>шнур разметочный -100 м</t>
  </si>
  <si>
    <t>маркеры -2 шт</t>
  </si>
  <si>
    <t>Гвозди</t>
  </si>
  <si>
    <t>скобы для сеплера</t>
  </si>
  <si>
    <t>бауцентр</t>
  </si>
  <si>
    <t>скотч</t>
  </si>
  <si>
    <t>плёнка полиэтиленовая тип150 (3х10)</t>
  </si>
  <si>
    <t>плёнка полиэтиленовая тип150 (2х20)</t>
  </si>
  <si>
    <t>лезвия для ножа концелярского - 18мм 10 шт</t>
  </si>
  <si>
    <t>Бензиновый генератор 3 квт + масло моторное 1 литр</t>
  </si>
  <si>
    <t>труба канализационная 110 - 1000 мм -1 шт</t>
  </si>
  <si>
    <t>труба канализационная 110 - 500 мм -1 шт</t>
  </si>
  <si>
    <t>заглушка канализационная 110 - 2 шт (1 шт - 66 р)</t>
  </si>
  <si>
    <t>бауцентр (закладные в ленточный фундамент)</t>
  </si>
  <si>
    <t>бауцентр  (закладные в ленточный фундамент)</t>
  </si>
  <si>
    <t>Шпильки 8 + гайки + шайбы</t>
  </si>
  <si>
    <t>Мерлен (13 шт 2 метра шпильки, 65 шайб, 65 гаек)</t>
  </si>
  <si>
    <t>заглушка канализационная 110 - 2 шт (1 шт - 30,83 р)</t>
  </si>
  <si>
    <t>Бауцентр</t>
  </si>
  <si>
    <t>муфта канализационная 110</t>
  </si>
  <si>
    <t>Щиток защитный лицевой</t>
  </si>
  <si>
    <t>Бауцентр, маска для работы с болгаркой</t>
  </si>
  <si>
    <t>диск отрезной 115х1 мм (27,33 р /шт) - 2 шт</t>
  </si>
  <si>
    <t>труба канализационная 110х500 мм 2 шт</t>
  </si>
  <si>
    <t>Шпилька м8 х 1000 мм (55.36 р/шт) - 6 шт</t>
  </si>
  <si>
    <t>Бауцентр, закладные в ленточный фундамент</t>
  </si>
  <si>
    <t>Бауцентр, крепление опалубки</t>
  </si>
  <si>
    <t>удлининтель на катушке 50 м 3500Вт</t>
  </si>
  <si>
    <t>аренда вибратора для бетона</t>
  </si>
  <si>
    <t>Шпилька м8 х 1000 мм (55.32 р/шт) - 3 шт</t>
  </si>
  <si>
    <t>Саморез по дереву 3,5х41 мм (200шт - упаковка)</t>
  </si>
  <si>
    <t>Плёнка полиэтиленовая тип 150 (2х20м)</t>
  </si>
  <si>
    <t>Гайка м8 (10 шт)</t>
  </si>
  <si>
    <t>Песок 10 т - 3 машины</t>
  </si>
  <si>
    <t>Евгений</t>
  </si>
  <si>
    <t xml:space="preserve">Уголок монтажный 90х90х40х1.8 мм </t>
  </si>
  <si>
    <t>пластина анкерная 180х65х1,8 мм</t>
  </si>
  <si>
    <t xml:space="preserve">Шпилька м8х1000 мм </t>
  </si>
  <si>
    <t>Бауцентр 25.06 вечер - 26.06 обед</t>
  </si>
  <si>
    <t>удлинитель 50 метров</t>
  </si>
  <si>
    <t xml:space="preserve">Бетон м300w6f100 </t>
  </si>
  <si>
    <t>ВИК Бетон - доставка 2 миксера + насос с миксером</t>
  </si>
  <si>
    <t xml:space="preserve">Дима </t>
  </si>
  <si>
    <t>Помощь в заливке бетона</t>
  </si>
  <si>
    <t>Ондулин лист красный 1,95х0,76м 14 шт. x 727.00</t>
  </si>
  <si>
    <t>Труба наружная SN4 110х3000 мм 3 шт. x 948.00</t>
  </si>
  <si>
    <t> Труба ПНД 32х2 мм (25 метров бухта)  1 шт. x 2413.00</t>
  </si>
  <si>
    <t>Труба наружная SN4 110х2000 мм 2 шт. x 626.00</t>
  </si>
  <si>
    <t> Труба наружная SN4 110х1000 мм  3 шт. x 368.00</t>
  </si>
  <si>
    <t>Отвод наружный 45град 110мм  7 шт. x 72.00</t>
  </si>
  <si>
    <t>Тройник наружный 45град 110х110мм  2 шт. x 154.00</t>
  </si>
  <si>
    <t xml:space="preserve">Гвозди Ондулин 75 мм Коричневые 1 шт. x 308.00 </t>
  </si>
  <si>
    <t>Заглушка d110  5 шт. x 42.00</t>
  </si>
  <si>
    <t> ХОМУТ ПП D110ММ  5 шт. x 34.00</t>
  </si>
  <si>
    <t>Доставка транспортной компанией</t>
  </si>
  <si>
    <t>100 шт Мерлен</t>
  </si>
  <si>
    <t>Мегаполис</t>
  </si>
  <si>
    <t>Труба гладкая ПНД 50с (2.9) 100м промрукав</t>
  </si>
  <si>
    <t xml:space="preserve">Доставка промрукава ПНД 50с из мегаполиса </t>
  </si>
  <si>
    <t>Ондулин лист красный 1,95х0,76м 3 шт. x 727.00</t>
  </si>
  <si>
    <t>Держатель для бит Декстер 54 мм</t>
  </si>
  <si>
    <t>Биты PZ2 2 шт</t>
  </si>
  <si>
    <t>Биты PH2 2 шт</t>
  </si>
  <si>
    <t>кирпич М250 керамин 2400 шт (8 паллет) + доставка манипулятором</t>
  </si>
  <si>
    <t>авито</t>
  </si>
  <si>
    <t>2 ведра мастики Гидроизоляция полимерная Боларс HydroFlex 6 кг</t>
  </si>
  <si>
    <t>Сетка кладочная Штрек 15x1.25x0.4x90 мм 20 м</t>
  </si>
  <si>
    <t>20 мешков цемента м500 (1 меш\25 кг)</t>
  </si>
  <si>
    <t>Бетоносмеситель Kronwerk 120 л 500 Вт</t>
  </si>
  <si>
    <t>Геотекстиль иглопробивной Axton 1x50 м 150 г/м²</t>
  </si>
  <si>
    <t>Шпилька м8х1000 мм 72*4шт</t>
  </si>
  <si>
    <t>Фибра в бетон и раствор 150 гр 176*2шт</t>
  </si>
  <si>
    <t>кладочная сетка 15х1,25х0,4х300</t>
  </si>
  <si>
    <t xml:space="preserve">кельма трапеция 180мм </t>
  </si>
  <si>
    <t>гравий 3-20 5 тонн</t>
  </si>
  <si>
    <t>Про карьер</t>
  </si>
  <si>
    <t>битум 21 кг(ведро)</t>
  </si>
  <si>
    <t>Озон</t>
  </si>
  <si>
    <t>Цемент I 42,5 H М500 Д0 25 кг</t>
  </si>
  <si>
    <t>10 шт * 529 Бауцентр</t>
  </si>
  <si>
    <t>Отсечная гидроизоляция 0,4х20 м</t>
  </si>
  <si>
    <t>4 шт * 499 Технониколь Бауцентр</t>
  </si>
  <si>
    <t>Труба Вест Пласт ПНД d32х2 мм 25 м</t>
  </si>
  <si>
    <t>1 бухта Бауцентр</t>
  </si>
  <si>
    <t>Макловица Korvus 150х70 мм</t>
  </si>
  <si>
    <t>доставка с бауцентра</t>
  </si>
  <si>
    <t>Известь сухогашённая (1.5 кг) 89р х 5 шт</t>
  </si>
  <si>
    <t>Диск алмазный 125 мм кронс</t>
  </si>
  <si>
    <t>перчатки рабочие хб</t>
  </si>
  <si>
    <t>карта бонусная на блистере</t>
  </si>
  <si>
    <t>Цемент м500 10 мешков + доставка</t>
  </si>
  <si>
    <t>тройники, уголки, трубы канализационные 110 50 мм, крепления, скотч</t>
  </si>
  <si>
    <t>песок 4 камаза по 14-15 тонн</t>
  </si>
  <si>
    <t>Евгений песок</t>
  </si>
  <si>
    <t>аренда трактора (2500 р доставка, 2500/час)</t>
  </si>
  <si>
    <t>михаил</t>
  </si>
  <si>
    <t>Герман</t>
  </si>
  <si>
    <t>аренда трамбовки вибро на день 90 кг + доставка</t>
  </si>
  <si>
    <t>плёнка 2 рулона</t>
  </si>
  <si>
    <t>арматура</t>
  </si>
  <si>
    <t>доставка манипулятором</t>
  </si>
  <si>
    <t>Плёнка полиэтиленовая тип 150 (2х50м) -  2 рулона</t>
  </si>
  <si>
    <t>Изоляция для труб - 1шт</t>
  </si>
  <si>
    <t>Бауцентр. d114.9 2 метра</t>
  </si>
  <si>
    <t>Бауцентр. 10 пар</t>
  </si>
  <si>
    <t>ВИК Бетон - М300f100w4 - 25 м3</t>
  </si>
  <si>
    <t>Бетон для плиты + доставка + насос</t>
  </si>
  <si>
    <t>Мастика + кисточка + 2 валика</t>
  </si>
  <si>
    <t>Бауцентр - 4 ведра + 2 валика + кисточка</t>
  </si>
  <si>
    <t>Мастика</t>
  </si>
  <si>
    <t>Бауцентр - 4 ведра</t>
  </si>
  <si>
    <t>Оси вертикальные</t>
  </si>
  <si>
    <t>Название оси</t>
  </si>
  <si>
    <t>Расстояние (мм)</t>
  </si>
  <si>
    <t>комментарии</t>
  </si>
  <si>
    <t>так как планируется использовать 300 мм газобетонный блок</t>
  </si>
  <si>
    <t>Газобетонные блоки 240 мм и 300 мм</t>
  </si>
  <si>
    <t>Аэроблок</t>
  </si>
  <si>
    <t>Лента геодезическая стальная, 3х скорость смотки, 30мх13мм Armero</t>
  </si>
  <si>
    <t>Киянка 910г, Мягкий ПВХ боек не оставляет следов, фиберглассовая рукоя</t>
  </si>
  <si>
    <t>Кельма-ковш для газобетона 300мм СИБИН</t>
  </si>
  <si>
    <t xml:space="preserve">Ножовка по газобетону  </t>
  </si>
  <si>
    <t xml:space="preserve">Тёрка для газобетона </t>
  </si>
  <si>
    <t>Газобетонные блоки 150 мм и 100 мм</t>
  </si>
  <si>
    <t>2 палетты 100, 5 палет 150 блок (Аэроблок)</t>
  </si>
  <si>
    <t>Мой проект</t>
  </si>
  <si>
    <t>Проект покупной</t>
  </si>
  <si>
    <t>Промметал ()</t>
  </si>
  <si>
    <t>Металлические трубы 40х20х1.5 - 6 метров + 30 р один рез</t>
  </si>
  <si>
    <t>сверло по металлу удлинёное 8 - 165 мм - 1 шт</t>
  </si>
  <si>
    <t>пилка электролобзика по дереву 135 мм dorn - 2шт</t>
  </si>
  <si>
    <t>мастика каучукобитумная 10 л</t>
  </si>
  <si>
    <t>канистра 10 л для гсм</t>
  </si>
  <si>
    <t>Уголок монтажный усиленный 70х70х55x1,8мм</t>
  </si>
  <si>
    <t>Петля накладная 40х110 цинк</t>
  </si>
  <si>
    <t>Масло для 4Т двигателей (полусинтет.) SAE 10W-40 API SJ/CF 1л DORN</t>
  </si>
  <si>
    <t>4 шт - Бауцентр</t>
  </si>
  <si>
    <t>2 шт - Бауцентр</t>
  </si>
  <si>
    <t>Ондулин - 1 лист</t>
  </si>
  <si>
    <t>Замок</t>
  </si>
  <si>
    <t>Ручка скоба</t>
  </si>
  <si>
    <t>Крючок накидной</t>
  </si>
  <si>
    <t>Петля накладная 45х200</t>
  </si>
  <si>
    <t>Проушина угловая 2 шт</t>
  </si>
  <si>
    <t>Песок 0-4</t>
  </si>
  <si>
    <t>Клей для блока Kleister ZM-22</t>
  </si>
  <si>
    <t>10 мешков 25 кг. Бауцентр</t>
  </si>
  <si>
    <t>Доставка с бауцентра</t>
  </si>
  <si>
    <t xml:space="preserve">Шланг для полива 1/2 </t>
  </si>
  <si>
    <t>50 метров. Бауцентр</t>
  </si>
  <si>
    <t>Отсечная гидроизоляция 0,4х20 м Технониколь</t>
  </si>
  <si>
    <t>4 рулона. Бауцентр</t>
  </si>
  <si>
    <t>Сетка оцинкованная 2х2 мм (2м х 50 см)</t>
  </si>
  <si>
    <t>Контур дома, стена</t>
  </si>
  <si>
    <t>Наш проект</t>
  </si>
  <si>
    <t>Покупной проект</t>
  </si>
  <si>
    <t>так как планируется использовать 375 мм газобетонный блок</t>
  </si>
  <si>
    <t>A - Б</t>
  </si>
  <si>
    <t>Б - В</t>
  </si>
  <si>
    <t>В - Г</t>
  </si>
  <si>
    <t>Г - Д</t>
  </si>
  <si>
    <t>Контур дома стена</t>
  </si>
  <si>
    <t>Длина стены Север (Юг)</t>
  </si>
  <si>
    <t>A - B</t>
  </si>
  <si>
    <t>B - C</t>
  </si>
  <si>
    <t>C - D</t>
  </si>
  <si>
    <t>D - E</t>
  </si>
  <si>
    <t>так как глубина крыльца такая же как и в покупном проекте</t>
  </si>
  <si>
    <t>расстояние между несущими стенами та же.</t>
  </si>
  <si>
    <t>так как необходимо было оставить несущую стену (запад) на том же расстоянии.</t>
  </si>
  <si>
    <t>так как блок стал 300 мм, комнаты увеличились. 4450 + 75  = 4525 мм</t>
  </si>
  <si>
    <t>Блоки для внутренних несущих стен 240 мм</t>
  </si>
  <si>
    <t>Оси горизонтальные</t>
  </si>
  <si>
    <t>1 -2</t>
  </si>
  <si>
    <t>2 - 3</t>
  </si>
  <si>
    <t>3 - 4</t>
  </si>
  <si>
    <t>4 - 5</t>
  </si>
  <si>
    <t>5 -4</t>
  </si>
  <si>
    <t>4 - 3</t>
  </si>
  <si>
    <t>3 - 2</t>
  </si>
  <si>
    <t>2 - 1</t>
  </si>
  <si>
    <r>
      <t xml:space="preserve">Блоки для внутренних несущих стен </t>
    </r>
    <r>
      <rPr>
        <b/>
        <sz val="11"/>
        <color rgb="FFFFC000"/>
        <rFont val="Calibri"/>
        <family val="2"/>
        <charset val="204"/>
        <scheme val="minor"/>
      </rPr>
      <t>250 мм</t>
    </r>
  </si>
  <si>
    <t>3100 + 75. Стена стала тоньше на 75 мм.</t>
  </si>
  <si>
    <t>1700-75. Так как блок 300 мм.</t>
  </si>
  <si>
    <t>5750+75+75. Так как блоки уменьшились с двух сторон, на 75 мм.</t>
  </si>
  <si>
    <t>Высоты</t>
  </si>
  <si>
    <t>Для лучшего понимания смотреть кладочный план покупного проекта!!!</t>
  </si>
  <si>
    <t>низ</t>
  </si>
  <si>
    <t>Наименование</t>
  </si>
  <si>
    <t>высота (мм)</t>
  </si>
  <si>
    <t>ЖБ плита</t>
  </si>
  <si>
    <t>Утеплитель (пенопласт)</t>
  </si>
  <si>
    <t>арм. Цем песч стяжка</t>
  </si>
  <si>
    <t>покрытие пола</t>
  </si>
  <si>
    <t>0 - отметка. Верхний уровень жб плиты</t>
  </si>
  <si>
    <t xml:space="preserve">8 мм </t>
  </si>
  <si>
    <t>12 мм</t>
  </si>
  <si>
    <t>МП-3 (метры)</t>
  </si>
  <si>
    <t>Армирование несущих стен (внеш)</t>
  </si>
  <si>
    <t>Армирование несущих стен (внутр)</t>
  </si>
  <si>
    <t>МП-1 БМ  (метры)</t>
  </si>
  <si>
    <t>МП-2  (метры)</t>
  </si>
  <si>
    <r>
      <t xml:space="preserve">Сумма </t>
    </r>
    <r>
      <rPr>
        <sz val="11"/>
        <color theme="1"/>
        <rFont val="Calibri"/>
        <family val="2"/>
        <charset val="204"/>
        <scheme val="minor"/>
      </rPr>
      <t>(метры)</t>
    </r>
  </si>
  <si>
    <t>Расчёт арматуры</t>
  </si>
  <si>
    <t>штук (делю на 6)</t>
  </si>
  <si>
    <t> Уровень 80см магнитный с ручками, точность 0,5мм/м, 3 глазка, DORN PRO</t>
  </si>
  <si>
    <t>Шнур для разметки 50м на катушке Dorn - 2 шт</t>
  </si>
  <si>
    <t>Мастика каучукобитумная 10л</t>
  </si>
  <si>
    <t>Кельма плиточника треугольная 200мм BIHUI</t>
  </si>
  <si>
    <t>Ковш штукатурный, круглое дно, Сибин</t>
  </si>
  <si>
    <t>Леманапро</t>
  </si>
  <si>
    <t>Цемент 25 кг - 15 мешков м500 + доставка до Солнечного</t>
  </si>
  <si>
    <t>арматура диаметр = 12 мм 10 шт х 6 м</t>
  </si>
  <si>
    <t>У узбеков</t>
  </si>
  <si>
    <t>Шпатель зубчатый 250мм 8х8 нержавеющая сталь, Дельта</t>
  </si>
  <si>
    <t>Шнур полипропиленовый для запуска двигателя 2,7 мм х 2 м</t>
  </si>
  <si>
    <t>Угольник Свенсона</t>
  </si>
  <si>
    <t>ОЗОН</t>
  </si>
  <si>
    <t>Ткань наждачная лист 280*230 P40 DORN</t>
  </si>
  <si>
    <t>Муфта канализационная соединительная d110мм РТП</t>
  </si>
  <si>
    <t> Перчатки нейлон с нитриловым обливом, 9/L, сер, Экстра</t>
  </si>
  <si>
    <t> Колено канализационное d110мм угол 45°</t>
  </si>
  <si>
    <t>Колено канализационное d110мм угол 67° РТП</t>
  </si>
  <si>
    <t>Колесо для тачки + перфолента</t>
  </si>
  <si>
    <t xml:space="preserve">Наколенники </t>
  </si>
  <si>
    <t>Рубанок для газобетона 400х110мм СИБИН</t>
  </si>
  <si>
    <t>Проволока вязальная ф 1.2 мм 5 кг</t>
  </si>
  <si>
    <t>карандаш строительный  - 30 р.шт - 3 шт</t>
  </si>
  <si>
    <t>16 мешков клея для газобетона kleister + доставка</t>
  </si>
  <si>
    <t>Доставка гоазоблоков 300 - 8 паллет</t>
  </si>
  <si>
    <t>Пила циркулярная дисковая Makita 5008mg</t>
  </si>
  <si>
    <t>Триммер аккумуляторный greenworks 40в g409ltk2</t>
  </si>
  <si>
    <t>Шпатель малярный Сибртех 60 мм нержавеющая сталь</t>
  </si>
  <si>
    <t>Рулетка с автостопом DORN 3 м х 16 мм нейлоновое покрытие</t>
  </si>
  <si>
    <t>Отрезной диск по металлу ШУМ 125x1,2x22,2 мм</t>
  </si>
  <si>
    <t>Кепка рабочая зеленая</t>
  </si>
  <si>
    <t>Топорище 41 см</t>
  </si>
  <si>
    <t>3 шт Бауцентр</t>
  </si>
  <si>
    <t>50 мм</t>
  </si>
  <si>
    <t xml:space="preserve">Полная высота стены (газобетон) </t>
  </si>
  <si>
    <t>от плиты до последнего ряда газобетона</t>
  </si>
  <si>
    <t>Стена + мп1/мп2 (от плиты до мп1/мп2)</t>
  </si>
  <si>
    <t>850+230=1080мм</t>
  </si>
  <si>
    <t>0 - отметка. Верхний уровень чистового пола</t>
  </si>
  <si>
    <t>от плиты до последнего ряда газобетона (от проектного нуля 2550)</t>
  </si>
  <si>
    <t>2780+250 толщина мп1/мп2 (от проектного нуля 2550+250=2800)</t>
  </si>
  <si>
    <t>высота нижнего края проема окна от плиты</t>
  </si>
  <si>
    <t>высота от плиты до нижнего края проёма 101,5 см = 1015 мм</t>
  </si>
  <si>
    <t>10 мешков клея для газобетона kleister zm22 + доставка</t>
  </si>
  <si>
    <t>Шпилька рез. М8х1000мм.</t>
  </si>
  <si>
    <t>Гайка DIN934 шестигранная оцинк. М8 Кл. проч.8.0 20шт</t>
  </si>
  <si>
    <t>Петля карточная 110х40мм цинк 2 шт</t>
  </si>
  <si>
    <t>Шайба DIN9021 кузовная оцинк. М8 20шт</t>
  </si>
  <si>
    <t> Карандаш каменщика 250мм, Dorn - 3 шт</t>
  </si>
  <si>
    <t>Рукоятка буковая для молотка 1кг, 36см Сибртех</t>
  </si>
  <si>
    <t>помост малярный ПМ-200 + доставка</t>
  </si>
  <si>
    <t>Бейсболка (тёмно-синяя)</t>
  </si>
  <si>
    <t>Полукомбинезон рабочий, 245 г/м2, серый, р-р 104-108/176-182, Basic Se</t>
  </si>
  <si>
    <t>Куртка рабочая, 245 г/м2, серый, 104-108/176-182, Basic Series NEO [</t>
  </si>
  <si>
    <t>Полуботинки 4216Т МП, кожа, иск. кожа, ПУ/ПУ, МБС, черный (42) [М]</t>
  </si>
  <si>
    <t xml:space="preserve">Доставка блоков </t>
  </si>
  <si>
    <t>Соседи</t>
  </si>
  <si>
    <t>Электричество + вода</t>
  </si>
  <si>
    <t>Цемент ЦЕМ I 42,5Н Цемрос 50кг</t>
  </si>
  <si>
    <t>8 мешков Бауцентр</t>
  </si>
  <si>
    <t>ведро оцинк - 2 шт</t>
  </si>
  <si>
    <t>Пенополистирол экструдированный ПЕНОПЛЭКС Комфорт 1185х585х20мм</t>
  </si>
  <si>
    <t>Перчатки х/б с ПВХ точкой, к.в.7, Эконом - 10 пар</t>
  </si>
  <si>
    <t>Канал круглый 100 мм х 1 м 10ВП1 ERA</t>
  </si>
  <si>
    <t>Коронка по бетону SDS-Plus 100мм с хвостовиком DORN</t>
  </si>
  <si>
    <t>Клей для блока Klester ZM 22 (25кг)</t>
  </si>
  <si>
    <t>Услуга доставки товара из интернет магазина</t>
  </si>
  <si>
    <t>Рубанок металлический классик №3 210x55мм (лезвие 50мм), ЗУБР</t>
  </si>
  <si>
    <t>Маркер разметочный 3мм синий</t>
  </si>
  <si>
    <t>Маркер-краска MunHwa белая, 2мм</t>
  </si>
  <si>
    <t>Бур по бетону SDS-plus 12x350 Quatro Dorn</t>
  </si>
  <si>
    <t>Перчатки х/б с ПВХ точкой, 10пар в уп., к.в.7,5, Эконом</t>
  </si>
  <si>
    <t>Электроды сварочные 2,0 мм 1,0 кг OK 46.00 ESAB</t>
  </si>
  <si>
    <t>Саморез д/г/пл. по дер. 3,5/3,8х45мм 500шт FIXBERG</t>
  </si>
  <si>
    <t>пескобетон м300 25 кг</t>
  </si>
  <si>
    <t>Бауцентр - 3 мешка</t>
  </si>
  <si>
    <t>Химический анкер Tech-KREP EASF EPOXY</t>
  </si>
  <si>
    <t xml:space="preserve">Клей цемент технониколь </t>
  </si>
  <si>
    <t>Профиль стоечный 100х50х3000 0.4 мм</t>
  </si>
  <si>
    <t>1 тюбик - 700 мл Бауцентр</t>
  </si>
  <si>
    <t>Саморез д/г/пл. по дер. 4,2x65мм 250шт FIXBERG</t>
  </si>
  <si>
    <t> Гвозди оцинк. 3,0х80мм 1кг</t>
  </si>
  <si>
    <t> Саморез д/г/пл. по дер. 3,5/3,8х45мм 500шт FIXBERG</t>
  </si>
  <si>
    <t xml:space="preserve">2 профиля Бауцентр </t>
  </si>
  <si>
    <t>2 коробки Бауцентр</t>
  </si>
  <si>
    <t>БМ1-1</t>
  </si>
  <si>
    <t>БМ1-2</t>
  </si>
  <si>
    <t>МП2 запад1</t>
  </si>
  <si>
    <t>м3</t>
  </si>
  <si>
    <t>МП2 запад2</t>
  </si>
  <si>
    <t>МП-2 Восток 1</t>
  </si>
  <si>
    <t>МП-2 Восток 2</t>
  </si>
  <si>
    <t>МП-1-1</t>
  </si>
  <si>
    <t>МП-1-2</t>
  </si>
  <si>
    <t>МП-1-3</t>
  </si>
  <si>
    <t>МП-1-4</t>
  </si>
  <si>
    <t>МП-1-5</t>
  </si>
  <si>
    <t>МП-1-6</t>
  </si>
  <si>
    <t>Балки перекрытия</t>
  </si>
  <si>
    <t>мм</t>
  </si>
  <si>
    <t>200 х 100 х 6000</t>
  </si>
  <si>
    <t>Итого</t>
  </si>
  <si>
    <t>шт</t>
  </si>
  <si>
    <t>мм3</t>
  </si>
  <si>
    <t>Вик бетон</t>
  </si>
  <si>
    <t>Бетон м300 5м3 + доставка+ насос</t>
  </si>
  <si>
    <t>Брус 100х200х6000 (септир) кол-во = 7,08 м3</t>
  </si>
  <si>
    <t>ИП Лыков</t>
  </si>
  <si>
    <t>Доставка бруса 100-200-6000 мм до пос Солнечное манипулятор</t>
  </si>
  <si>
    <t>Гвозди строительные 6х200мм 5кг</t>
  </si>
  <si>
    <t>Диск отрезной 115x1,0 мм диск по металлу Dorn</t>
  </si>
  <si>
    <t> Гвозди строительные 5,0x150мм 1кг</t>
  </si>
  <si>
    <t> Рубероид РКП 350 15м2 ГОСТ (1,6 кг/м2)</t>
  </si>
  <si>
    <t xml:space="preserve">Грунт котлованный 4 машины </t>
  </si>
  <si>
    <t>база сыпучих материалов. Солнечное</t>
  </si>
  <si>
    <t>Масло для смазки цепи 0,95л SAE 30 OASIS</t>
  </si>
  <si>
    <t>Саморез с п/шайбой со сверлом 4,2х25мм 25 шт. Bullit</t>
  </si>
  <si>
    <t>Опора бруса раскрытая OBR R 100х140х1,8мм 5 шт</t>
  </si>
  <si>
    <t>139,50 р шт</t>
  </si>
  <si>
    <t>Трактор jcb 2500р - доставка, 2700р час.</t>
  </si>
  <si>
    <t>василий, выравниване грунта - глина. 4 часа работы</t>
  </si>
  <si>
    <t>Скобы оцинкованные тип 53, 6мм, 1000шт, РемоКолор</t>
  </si>
  <si>
    <t>Карандаш каменщика 250мм, Dorn</t>
  </si>
  <si>
    <t> Карандаш столяра 250мм, Dorn</t>
  </si>
  <si>
    <t>Маркер перманентный Luxor черный, 3мм</t>
  </si>
  <si>
    <t>Шуруп с шестигранной головкой 10х180мм DIN571</t>
  </si>
  <si>
    <t>2 упак Бауцентр</t>
  </si>
  <si>
    <t>5шт х 39р Бауцентр</t>
  </si>
  <si>
    <t> Шайба DIN9021 кузовная оцинк. М16 6шт</t>
  </si>
  <si>
    <t>Чашка алмазная зачистная 125 мм Turbo MATRIX</t>
  </si>
  <si>
    <t>Сверло по металлу удлиненное 5,0 х 132мм HSS-G DORN</t>
  </si>
  <si>
    <t>Рубероид РКП 350 15м2 ГОСТ (1,6 кг/м2)</t>
  </si>
  <si>
    <t>Марк Авито - Доставка 3000р</t>
  </si>
  <si>
    <t>Арматура 12 мм (по 6 метров). 26 штук</t>
  </si>
  <si>
    <t>Шпилька усиленная м16х2000 13 шт -  594рх13 = 7722</t>
  </si>
  <si>
    <t>Гайка шестигранная м16 (84р упак4шт) 84х21 пачку = 1764</t>
  </si>
  <si>
    <t>перчатки облив латекс 68рх2шт</t>
  </si>
  <si>
    <t>Лемана про</t>
  </si>
  <si>
    <t>гайка м16 2 упак по 26 шт</t>
  </si>
  <si>
    <t>Шайбы М16 2 упак по 20 шт</t>
  </si>
  <si>
    <t>Лента упаковочная 48мм х 120м прозрачная</t>
  </si>
  <si>
    <t>Саморез д/г.пл. по дер. 3,5х41мм 200шт FIXBERG</t>
  </si>
  <si>
    <t>ОСБ 15 мм - 25 шт</t>
  </si>
  <si>
    <t>1700р.шт + 2000р доставка - АВИТО - Камская</t>
  </si>
  <si>
    <t xml:space="preserve">Бетон м300 - 3.5м3 </t>
  </si>
  <si>
    <t>8300р/м3 + 15000р доставка ВИК бетон</t>
  </si>
  <si>
    <t xml:space="preserve">Аренда вибратора для бетона </t>
  </si>
  <si>
    <t xml:space="preserve">Авито дмитрий снт </t>
  </si>
  <si>
    <t>Доставка манипулятором 7000р + подъём 100х200 14 шт и 150х150 9шт. 1500р</t>
  </si>
  <si>
    <t xml:space="preserve">ИП Лыков </t>
  </si>
  <si>
    <t>брус 150х150 (не септир) - 9 шт, брус 100х200(септ) - 7шт, 50х200(септ) - 54шт.</t>
  </si>
  <si>
    <t>Септик для дерева 5 л не смываемый</t>
  </si>
  <si>
    <t>Рубероид РКП 350 15м2 ГОСТ (1,6 кг/м2) -2рул, 3 диска отрезных для болгарки, рулетка на 5 м, кисточка для покраски</t>
  </si>
  <si>
    <t>сверло по дереву 20 мм</t>
  </si>
  <si>
    <t>ТД Строитель</t>
  </si>
  <si>
    <t>Стамеска, прорезиненная ручка, металический боек, CRV сталь, 40мм, DORN</t>
  </si>
  <si>
    <t>Перчатки утепленные, х/б с латексным обливом, 10/XL, корич, GRIZZLY Bradas</t>
  </si>
  <si>
    <t>Шайба DIN9021 кузовная оцинк. М16 12шт</t>
  </si>
  <si>
    <t>гвозди строительные 3.5х90мм 1 кг</t>
  </si>
  <si>
    <t>гвозди строительные 4х100мм 1 кг</t>
  </si>
  <si>
    <t>Уголок монтажный усиленный 90х90х65x1,8мм - 4 шт</t>
  </si>
  <si>
    <t> Перчатки х/б с латексным обливом, 9/L, сер, к.в.10, PRIMO Bradas</t>
  </si>
  <si>
    <t> Сверло по дереву 14 мм хвостовик Hex-E 1/4 DORN</t>
  </si>
  <si>
    <t> Сверло по металлу 18мм HSS-G DORN</t>
  </si>
  <si>
    <t>Шуруп с шестигранной головкой 10х140мм DIN571 8 шт</t>
  </si>
  <si>
    <t>Диск отрезной 125x1,0x22,2мм по металлу и нержавеющей стали ШУМ 2 шт</t>
  </si>
  <si>
    <t>Шайба DIN9021 кузовная оцинк. М10 10шт</t>
  </si>
  <si>
    <t xml:space="preserve">Полоса 40х4х6000 мм </t>
  </si>
  <si>
    <t xml:space="preserve">Полоса 20х4х6000 мм </t>
  </si>
  <si>
    <t>Резка полос</t>
  </si>
  <si>
    <t>3 шт ООО КСМ</t>
  </si>
  <si>
    <t>1 шт ООО КСМ</t>
  </si>
  <si>
    <t>ООО КСМ</t>
  </si>
  <si>
    <t>Саморез с п/шайбой по дереву 3,8х45мм 50шт.</t>
  </si>
  <si>
    <t>Уголок монтажный усиленный 90х90х65х1,8мм</t>
  </si>
  <si>
    <t>Гвозди строительные 4,0x100мм 1кг</t>
  </si>
  <si>
    <t>Шуруп конструкционный, для дерева, потай, TORX 30 6,0x200мм.</t>
  </si>
  <si>
    <t>12 шт Бауцентр</t>
  </si>
  <si>
    <t>назначение</t>
  </si>
  <si>
    <t>варочная поверхность</t>
  </si>
  <si>
    <t>Холодильник</t>
  </si>
  <si>
    <t>духовой шкаф</t>
  </si>
  <si>
    <t>посудомоечная машина</t>
  </si>
  <si>
    <t>электрочайник/миксер/мясорубка</t>
  </si>
  <si>
    <t>вытяжка</t>
  </si>
  <si>
    <t>микроволновая печь/кофемашина</t>
  </si>
  <si>
    <t>робот пылесос</t>
  </si>
  <si>
    <t xml:space="preserve">сечение провода - </t>
  </si>
  <si>
    <t>количество (шт)</t>
  </si>
  <si>
    <t>диван</t>
  </si>
  <si>
    <t>ИТОГО:</t>
  </si>
  <si>
    <t>телевизор и комуникационное оборудование</t>
  </si>
  <si>
    <t>настольные светильники + зараядки</t>
  </si>
  <si>
    <t>компьютер + принтер</t>
  </si>
  <si>
    <t>бойлер</t>
  </si>
  <si>
    <t>стиральная машина, сушильная машина</t>
  </si>
  <si>
    <t>зеркало (подсветка), фен, электробритва.</t>
  </si>
  <si>
    <t>сечение провода - , влагозащищёное исполнение, УЗО.</t>
  </si>
  <si>
    <t>влагозащищёное исполнение, УЗО.</t>
  </si>
  <si>
    <t>зеркало</t>
  </si>
  <si>
    <t>фен</t>
  </si>
  <si>
    <t>настенный газовый котёл</t>
  </si>
  <si>
    <t>циркуляционные насосы</t>
  </si>
  <si>
    <t>отчистка воды</t>
  </si>
  <si>
    <t>погружной насос для скважины</t>
  </si>
  <si>
    <t>аэрационный насос для септика</t>
  </si>
  <si>
    <t>автоматический выключатель -вывод на восточную сторону</t>
  </si>
  <si>
    <t>автоматический выключатель -вывод на южную сторону</t>
  </si>
  <si>
    <t>питание для кухни</t>
  </si>
  <si>
    <t>автоматический выключатель (возможно буду подключать с уличного щитка)</t>
  </si>
  <si>
    <t>розетка 1</t>
  </si>
  <si>
    <t>розетка 2</t>
  </si>
  <si>
    <t>автоматический выключатель - освещение чердачного помещения</t>
  </si>
  <si>
    <t>количество розеток (шт)</t>
  </si>
  <si>
    <t>Кухня и гостинная - 3, 4 (2 группы на освещение)</t>
  </si>
  <si>
    <t>Детская комната - 5 (одна группа освещения)</t>
  </si>
  <si>
    <t>Родительская комната - 6 (одна группа освещения)</t>
  </si>
  <si>
    <t>Бабушкина комната - 9  (одна группа освещения)</t>
  </si>
  <si>
    <t>санузел - 7  (одна группа освещения)</t>
  </si>
  <si>
    <t>туалет - 8  (одна группа освещения)</t>
  </si>
  <si>
    <t>Техническое помещение - 10  (одна группа освещения)</t>
  </si>
  <si>
    <t>холл - 2  (одна группа освещения)</t>
  </si>
  <si>
    <t>Группа освещения улица ЮГ.</t>
  </si>
  <si>
    <t>Группа освещения улица север.</t>
  </si>
  <si>
    <t>Группа освещения улица восток.</t>
  </si>
  <si>
    <t>Группа освещения улица запад.</t>
  </si>
  <si>
    <t>Лемана ПРО</t>
  </si>
  <si>
    <t>Комплектующие\Магазины</t>
  </si>
  <si>
    <t>4-полюсный автомат С25А</t>
  </si>
  <si>
    <t>4 - полюсный автомат С20А</t>
  </si>
  <si>
    <t>3-полюсный автомат С16А</t>
  </si>
  <si>
    <t>1-полюсный автомат С10А</t>
  </si>
  <si>
    <t xml:space="preserve">Ящик электрический уличный </t>
  </si>
  <si>
    <t>Розетка однофазная в шкаф на din рейку</t>
  </si>
  <si>
    <t xml:space="preserve"> Цена в Бауцентр (руб)</t>
  </si>
  <si>
    <t>шинка РЕ</t>
  </si>
  <si>
    <t>шинка N</t>
  </si>
  <si>
    <t>Розетка на 3 ф</t>
  </si>
  <si>
    <t>вибратор для бетона</t>
  </si>
  <si>
    <t>гибкий вал</t>
  </si>
  <si>
    <t>ламели для кровати (1шт)</t>
  </si>
  <si>
    <t>Столбец1</t>
  </si>
  <si>
    <t xml:space="preserve"> Legrand</t>
  </si>
  <si>
    <t>Dekraft</t>
  </si>
  <si>
    <t>EKF</t>
  </si>
  <si>
    <t>TDM electric</t>
  </si>
  <si>
    <t>IEK</t>
  </si>
  <si>
    <t>Спец 800вт</t>
  </si>
  <si>
    <t>Электроцентр</t>
  </si>
  <si>
    <t>Etimat</t>
  </si>
  <si>
    <t>шина нулевая "стойка" 6x9 мм 12 групп на din рейку ekf - 1шт.</t>
  </si>
  <si>
    <t>шина нулевая 6x9 мм 14 групп на din рейку ekf - 1шт.</t>
  </si>
  <si>
    <t>din рейка 30 см оцинкованная 2 шт</t>
  </si>
  <si>
    <t>шина соединительная 3 полюса 63А 12 мод ekf - 1шт</t>
  </si>
  <si>
    <t>держатель для коронок bi-metal 32-152мм dorn pro</t>
  </si>
  <si>
    <t>коронка bi-metal 8% по металлу/дереву 73мм dorn  pro</t>
  </si>
  <si>
    <t xml:space="preserve">вибратор для бетона deko 1500 Вт с булавой 1.5 м </t>
  </si>
  <si>
    <t>Электрон 34 ящик ЩМП 05 ip54 металлический</t>
  </si>
  <si>
    <t>Розетка EKF трёхфазная пятипроводная 32A 380В</t>
  </si>
  <si>
    <t>автоматический выключатель dekraft c20a 4 полюсный</t>
  </si>
  <si>
    <t>Розетка на din рейку iek 16A 250В</t>
  </si>
  <si>
    <t>wildberries</t>
  </si>
  <si>
    <t>Фен строительный DEKO 2000 Вт</t>
  </si>
  <si>
    <r>
      <t>Для котла </t>
    </r>
    <r>
      <rPr>
        <b/>
        <sz val="12"/>
        <color rgb="FF0A0A0A"/>
        <rFont val="Arial"/>
        <family val="2"/>
        <charset val="204"/>
      </rPr>
      <t>Fondital Victoria Compact CTFS 24 AF</t>
    </r>
    <r>
      <rPr>
        <sz val="12"/>
        <color rgb="FF0A0A0A"/>
        <rFont val="Arial"/>
        <family val="2"/>
        <charset val="204"/>
      </rPr>
      <t> при объеме котельной </t>
    </r>
    <r>
      <rPr>
        <b/>
        <sz val="12"/>
        <color rgb="FF0A0A0A"/>
        <rFont val="Arial"/>
        <family val="2"/>
        <charset val="204"/>
      </rPr>
      <t>18 м³</t>
    </r>
    <r>
      <rPr>
        <sz val="12"/>
        <color rgb="FF0A0A0A"/>
        <rFont val="Arial"/>
        <family val="2"/>
        <charset val="204"/>
      </rPr>
      <t> рекомендуемый внутренний диаметр вентканала составляет </t>
    </r>
    <r>
      <rPr>
        <b/>
        <sz val="12"/>
        <color rgb="FF0A0A0A"/>
        <rFont val="Arial"/>
        <family val="2"/>
        <charset val="204"/>
      </rPr>
      <t>150 мм</t>
    </r>
    <r>
      <rPr>
        <sz val="12"/>
        <color rgb="FF0A0A0A"/>
        <rFont val="Arial"/>
        <family val="2"/>
        <charset val="204"/>
      </rPr>
      <t> (или прямоугольное сечение эквивалентной площади 177 см²). </t>
    </r>
  </si>
  <si>
    <r>
      <t>Поскольку модель </t>
    </r>
    <r>
      <rPr>
        <b/>
        <sz val="12"/>
        <color rgb="FF0A0A0A"/>
        <rFont val="Arial"/>
        <family val="2"/>
        <charset val="204"/>
      </rPr>
      <t>CTFS</t>
    </r>
    <r>
      <rPr>
        <sz val="12"/>
        <color rgb="FF0A0A0A"/>
        <rFont val="Arial"/>
        <family val="2"/>
        <charset val="204"/>
      </rPr>
      <t> (аббревиатура </t>
    </r>
    <r>
      <rPr>
        <i/>
        <sz val="12"/>
        <color rgb="FF0A0A0A"/>
        <rFont val="Arial"/>
        <family val="2"/>
        <charset val="204"/>
      </rPr>
      <t>Camera Turbo Forzata Stagna</t>
    </r>
    <r>
      <rPr>
        <sz val="12"/>
        <color rgb="FF0A0A0A"/>
        <rFont val="Arial"/>
        <family val="2"/>
        <charset val="204"/>
      </rPr>
      <t>) оснащена </t>
    </r>
    <r>
      <rPr>
        <b/>
        <sz val="12"/>
        <color rgb="FF0A0A0A"/>
        <rFont val="Arial"/>
        <family val="2"/>
        <charset val="204"/>
      </rPr>
      <t>закрытой камерой сгорания</t>
    </r>
    <r>
      <rPr>
        <sz val="12"/>
        <color rgb="FF0A0A0A"/>
        <rFont val="Arial"/>
        <family val="2"/>
        <charset val="204"/>
      </rPr>
      <t> и принудительным дымоудалением, расчет вентиляции упрощается: вам не нужно закладывать дополнительный приток воздуха на горение газа в саму трубу вытяжки, так как котел берет его с улицы через коаксиальный дымоход. </t>
    </r>
  </si>
  <si>
    <t>Обоснование расчета</t>
  </si>
  <si>
    <r>
      <t>Согласно нормативам (СП 402.1325800.2018), для газовых котельных обязателен </t>
    </r>
    <r>
      <rPr>
        <b/>
        <sz val="12"/>
        <color rgb="FF0A0A0A"/>
        <rFont val="Arial"/>
        <family val="2"/>
        <charset val="204"/>
      </rPr>
      <t>трехкратный воздухообмен</t>
    </r>
    <r>
      <rPr>
        <sz val="12"/>
        <color rgb="FF0A0A0A"/>
        <rFont val="Arial"/>
        <family val="2"/>
        <charset val="204"/>
      </rPr>
      <t> в час. </t>
    </r>
  </si>
  <si>
    <t>АО «Газпром газораспределение Петрозаводск +1</t>
  </si>
  <si>
    <r>
      <t>Необходимый объем вытяжки:</t>
    </r>
    <r>
      <rPr>
        <sz val="12"/>
        <color rgb="FF0A0A0A"/>
        <rFont val="Arial"/>
        <family val="2"/>
        <charset val="204"/>
      </rPr>
      <t> 18 м³ × 3 = </t>
    </r>
    <r>
      <rPr>
        <b/>
        <sz val="12"/>
        <color rgb="FF0A0A0A"/>
        <rFont val="Arial"/>
        <family val="2"/>
        <charset val="204"/>
      </rPr>
      <t>54 м³/час</t>
    </r>
    <r>
      <rPr>
        <sz val="12"/>
        <color rgb="FF0A0A0A"/>
        <rFont val="Arial"/>
        <family val="2"/>
        <charset val="204"/>
      </rPr>
      <t>.</t>
    </r>
  </si>
  <si>
    <r>
      <t>Скорость воздуха:</t>
    </r>
    <r>
      <rPr>
        <sz val="12"/>
        <color rgb="FF0A0A0A"/>
        <rFont val="Arial"/>
        <family val="2"/>
        <charset val="204"/>
      </rPr>
      <t> При естественной вентиляции расчетная скорость составляет ~1 м/с.</t>
    </r>
  </si>
  <si>
    <r>
      <t>Требуемая площадь сечения:</t>
    </r>
    <r>
      <rPr>
        <sz val="12"/>
        <color rgb="FF0A0A0A"/>
        <rFont val="Arial"/>
        <family val="2"/>
        <charset val="204"/>
      </rPr>
      <t> Для пропуска 54 м³/ч при такой скорости необходимо сечение около </t>
    </r>
    <r>
      <rPr>
        <b/>
        <sz val="12"/>
        <color rgb="FF0A0A0A"/>
        <rFont val="Arial"/>
        <family val="2"/>
        <charset val="204"/>
      </rPr>
      <t>150 см²</t>
    </r>
    <r>
      <rPr>
        <sz val="12"/>
        <color rgb="FF0A0A0A"/>
        <rFont val="Arial"/>
        <family val="2"/>
        <charset val="204"/>
      </rPr>
      <t>.</t>
    </r>
  </si>
  <si>
    <t>Подбор диаметра:</t>
  </si>
  <si>
    <r>
      <t>Труба </t>
    </r>
    <r>
      <rPr>
        <b/>
        <sz val="12"/>
        <color rgb="FF0A0A0A"/>
        <rFont val="Arial"/>
        <family val="2"/>
        <charset val="204"/>
      </rPr>
      <t>Ø125 мм</t>
    </r>
    <r>
      <rPr>
        <sz val="12"/>
        <color rgb="FF0A0A0A"/>
        <rFont val="Arial"/>
        <family val="2"/>
        <charset val="204"/>
      </rPr>
      <t> имеет площадь ~122 см² (этого может быть недостаточно при низком атмосферном давлении или малой высоте трубы).</t>
    </r>
  </si>
  <si>
    <r>
      <t>Труба </t>
    </r>
    <r>
      <rPr>
        <b/>
        <sz val="12"/>
        <color rgb="FF0A0A0A"/>
        <rFont val="Arial"/>
        <family val="2"/>
        <charset val="204"/>
      </rPr>
      <t>Ø150 мм</t>
    </r>
    <r>
      <rPr>
        <sz val="12"/>
        <color rgb="FF0A0A0A"/>
        <rFont val="Arial"/>
        <family val="2"/>
        <charset val="204"/>
      </rPr>
      <t> имеет площадь ~176 см², что полностью перекрывает норматив и является стандартом для таких помещений. </t>
    </r>
  </si>
  <si>
    <t>xn--11-6kca3c6bt.xn--p1ai +1</t>
  </si>
  <si>
    <t>Требования к исполнению</t>
  </si>
  <si>
    <r>
      <t>1. Материал:</t>
    </r>
    <r>
      <rPr>
        <sz val="12"/>
        <color rgb="FF0A0A0A"/>
        <rFont val="Arial"/>
        <family val="2"/>
        <charset val="204"/>
      </rPr>
      <t> Канал должен быть выполнен из негорючих материалов (оцинкованная сталь, нержавейка). Использование пластика (ПВХ) запрещено.</t>
    </r>
  </si>
  <si>
    <r>
      <t>2. Расположение:</t>
    </r>
    <r>
      <rPr>
        <sz val="12"/>
        <color rgb="FF0A0A0A"/>
        <rFont val="Arial"/>
        <family val="2"/>
        <charset val="204"/>
      </rPr>
      <t> Вытяжное отверстие должно находиться в верхней зоне помещения (не ниже 30 см от потолка).</t>
    </r>
  </si>
  <si>
    <r>
      <t>3. Приток:</t>
    </r>
    <r>
      <rPr>
        <sz val="12"/>
        <color rgb="FF0A0A0A"/>
        <rFont val="Arial"/>
        <family val="2"/>
        <charset val="204"/>
      </rPr>
      <t> Для работы вытяжки необходим приток воздуха (например, подрез в нижней части двери площадью не менее 0,02 м² или приточный клапан). </t>
    </r>
  </si>
  <si>
    <r>
      <t>Для раздельной системы дымоудаления (раздельного дымохода) газового котла Fondital Victoria Compact CTFS 24 AF требуются две трубы диаметром </t>
    </r>
    <r>
      <rPr>
        <b/>
        <sz val="12"/>
        <color rgb="FF0A0A0A"/>
        <rFont val="Arial"/>
        <family val="2"/>
        <charset val="204"/>
      </rPr>
      <t>80 мм</t>
    </r>
    <r>
      <rPr>
        <sz val="12"/>
        <color rgb="FF0A0A0A"/>
        <rFont val="Arial"/>
        <family val="2"/>
        <charset val="204"/>
      </rPr>
      <t> каждая — одна для дымоудаления, другая для забора воздуха. Это стандартное решение для турбированных моделей, обеспечивающее эффективный отвод продуктов сгорания. </t>
    </r>
  </si>
  <si>
    <t>www.allb.ru +1</t>
  </si>
  <si>
    <t>Ключевые особенности:</t>
  </si>
  <si>
    <r>
      <t>Диаметр труб:</t>
    </r>
    <r>
      <rPr>
        <sz val="12"/>
        <color rgb="FF0A0A0A"/>
        <rFont val="Arial"/>
        <family val="2"/>
        <charset val="204"/>
      </rPr>
      <t> 80/80 мм.</t>
    </r>
  </si>
  <si>
    <r>
      <t>Тип системы:</t>
    </r>
    <r>
      <rPr>
        <sz val="12"/>
        <color rgb="FF0A0A0A"/>
        <rFont val="Arial"/>
        <family val="2"/>
        <charset val="204"/>
      </rPr>
      <t> Раздельная (воздуховод и дымоход идут отдельно).</t>
    </r>
  </si>
  <si>
    <r>
      <t>Тип котла:</t>
    </r>
    <r>
      <rPr>
        <sz val="12"/>
        <color rgb="FF0A0A0A"/>
        <rFont val="Arial"/>
        <family val="2"/>
        <charset val="204"/>
      </rPr>
      <t> Закрытая камера сгорания (CTFS), турбированный. </t>
    </r>
  </si>
  <si>
    <t>ТеплоВсем +2</t>
  </si>
  <si>
    <t>Использование труб диаметром 80 мм позволяет оптимизировать работу системы дымоудаления и обеспечить безопасную эксплуатацию котла.</t>
  </si>
  <si>
    <t>Доставка блоков 150 аэроблок - 5 паллет</t>
  </si>
  <si>
    <t>Кримпер для обжима наконечников</t>
  </si>
  <si>
    <t>Выключатель нагрузки IEK</t>
  </si>
  <si>
    <t>автоматический выключатель IEK c25 3 полюсный</t>
  </si>
  <si>
    <t>автоматический выключатель 4 полюса 25а</t>
  </si>
  <si>
    <t> Кабель твёрдый круглый негорючий низкотоксичный ВВГ-нг LSLTx 3x2,5 ГОС - 1 метр</t>
  </si>
  <si>
    <t>Уголок монтажный усиленный 90х90х65х1,8мм - 10 шт (1 шт - 45р)</t>
  </si>
  <si>
    <t>Перчатки полиэстер с полиуретановым обливом, 10/XL, черн, Sado Plus - 2 пары</t>
  </si>
  <si>
    <t>Гвозди оцинк. 4,0х120мм 1кг</t>
  </si>
  <si>
    <t> Гвозди оцинк. 5,0х150мм 1кг</t>
  </si>
  <si>
    <t>Шпилька рез. М8х1000мм. - 2 шт</t>
  </si>
  <si>
    <t>Шайба DIN9021 кузовная оцинк. М12 10шт</t>
  </si>
  <si>
    <t>Сверло по дереву балочное 8х460, 6-гранный хвостовик</t>
  </si>
  <si>
    <t>ООО СИТ - покупка метал труб прямоуг сечения</t>
  </si>
  <si>
    <t>40х20х1.5х6000 мм труб прямоуг + резка</t>
  </si>
  <si>
    <t>уголки+шурупы</t>
  </si>
  <si>
    <t>уголки + шурупы</t>
  </si>
  <si>
    <t>саморез с шайбой по дереву 3,8х45мм 50 шт</t>
  </si>
  <si>
    <t>уголок монтажный усиленный 90х90х65х1.8 мм 2 шт</t>
  </si>
  <si>
    <t>уголок монтажный усиленный 60х60х45х1.8 мм 17 шт</t>
  </si>
  <si>
    <t xml:space="preserve">шпилька м8 1 метр + конструк саморезы 140 мм </t>
  </si>
  <si>
    <t>шпилька м8 1000мм 1 шт</t>
  </si>
  <si>
    <t xml:space="preserve">уголок монтажный усиленный 60х60х45х1.8 мм 50 шт </t>
  </si>
  <si>
    <t>гвозди строительные 4х120 мм 4 кг</t>
  </si>
  <si>
    <t>саморез с пресшайбой по дереву 3.8 х 45 50 шт 2 упак</t>
  </si>
  <si>
    <t>ООО «Региональная кадастровая компания» +7 963 350-70-61 info@rkk39.ru www.rkk39.ru 236022, г. Калининград, ул. Г. Димитрова, д. 3, пом. 2</t>
  </si>
  <si>
    <t> База стройматериалов «БСМ» -бауцентр</t>
  </si>
  <si>
    <t>Кабель круглый бронированный АПвБШп 4х16 - 22 м x 279 ₽</t>
  </si>
  <si>
    <t>Кабель круглый негорючий малодымный ВВГнг(А)-LS 5х10 ГОСТ - 10 м x 889 ₽</t>
  </si>
  <si>
    <t>Пленка паро-гидроизоляционная Изоспан D усиленная 90 г/м2 70 м2 - 4 рул x 4 490 ₽</t>
  </si>
  <si>
    <t>Цемент ЦЕМ II/В-Ш 42,5Н Heidelberg 25 кг - 1 шт x 529 ₽</t>
  </si>
  <si>
    <t>трубка термоусадочная клеевая сттк 55\16  1м-546,11р 2 шт</t>
  </si>
  <si>
    <t>трубка термоусадочная тту 10\5 1м 16,49р</t>
  </si>
  <si>
    <t>труба гофрированная двухслойная электрокор флекс 61 х 3м</t>
  </si>
  <si>
    <t xml:space="preserve">Мегаполис-балтика </t>
  </si>
  <si>
    <t>электрический провод ПуГВнг(а)-LS 1x10 на отрез 246х3м</t>
  </si>
  <si>
    <t>наконечник гильза ншви2 6-14</t>
  </si>
  <si>
    <t xml:space="preserve">шпагат пп 100м </t>
  </si>
  <si>
    <t>респиратор ffp1 форм с клапаном юлия</t>
  </si>
  <si>
    <t>ншви2 10мм2</t>
  </si>
  <si>
    <t>сигнальная лента</t>
  </si>
  <si>
    <t>Сечение (мм)</t>
  </si>
  <si>
    <t>50х200х6000</t>
  </si>
  <si>
    <t>50х150х6000</t>
  </si>
  <si>
    <t>перемычки</t>
  </si>
  <si>
    <t>50х50</t>
  </si>
  <si>
    <t>310 м.п</t>
  </si>
  <si>
    <t>25х100</t>
  </si>
  <si>
    <t>530 м.п</t>
  </si>
  <si>
    <t>количество (шт - м.п)</t>
  </si>
  <si>
    <t>120 м.п</t>
  </si>
  <si>
    <t>ветровая доска - 120/6 = 20 шт</t>
  </si>
  <si>
    <t>обрешётка 530/6 = 89 шт</t>
  </si>
  <si>
    <t>стропило не достающее</t>
  </si>
  <si>
    <t>25х100х6000</t>
  </si>
  <si>
    <t>размеры</t>
  </si>
  <si>
    <t>количество</t>
  </si>
  <si>
    <t>цена на м3</t>
  </si>
  <si>
    <t>объём</t>
  </si>
  <si>
    <t>сумма (руб)</t>
  </si>
  <si>
    <t>50х50х3000</t>
  </si>
  <si>
    <t>контробрешётка 310/3 = 104 щт</t>
  </si>
  <si>
    <t>доска 25х100х6000 - 109 шт  - 26000 р\м3</t>
  </si>
  <si>
    <t>доска 50х200х6000 - 25 шт - 26000 р\м3</t>
  </si>
  <si>
    <t>доска 50х150х6000 - 3 шт - 26000 р\м3</t>
  </si>
  <si>
    <t>брус 50х50х3000 - 104 шт - 26000 р\м3</t>
  </si>
  <si>
    <t>Сергей с авито</t>
  </si>
  <si>
    <t>доставка досок манипулятором jac n90</t>
  </si>
  <si>
    <t>ПНД 32 гладкая 64.99 р х 4 метра</t>
  </si>
  <si>
    <t>труба 50 гофрированная двухслойная электрокор флекс 61 х 3м</t>
  </si>
  <si>
    <t>лента прямая (стальная перфорированная) lp 20x0,70-0,80мм 5 метров</t>
  </si>
  <si>
    <t>труба термоусаживаемая клеевая сттк (3-4:1) 55\16мм 1м -546,11р 2 метра</t>
  </si>
  <si>
    <t>диск отрезной 125х1,6мм диск по металлу DORN 2 шт</t>
  </si>
  <si>
    <t>уголок монтажный усиленный 60х60х45х1.8мм - 16 шт</t>
  </si>
  <si>
    <t>Электроцентр, ИП Савельев</t>
  </si>
  <si>
    <t>провод ПуГВнг(А)LS 1x10 чёрный 1 метр</t>
  </si>
  <si>
    <t>провод ПуГВнг(А)LS 1x6 красный 1 метр</t>
  </si>
  <si>
    <t>наконечник НШВИ 10-12 (20шт\упак) IEK</t>
  </si>
  <si>
    <t>наконечник НШВИ 6-12 (20шт\упак) IEK</t>
  </si>
  <si>
    <t>Гвозди оцинк 3х80 1кг 2 упак х 240р</t>
  </si>
  <si>
    <t>гвозди строительные 4х120 мм 1 кг</t>
  </si>
  <si>
    <t>Гвозди строительные 3,5х90мм 1 кг, 3 упак х 182.47р</t>
  </si>
  <si>
    <t>доска 50х200х6000 - 19 шт - 26000 р\м3</t>
  </si>
  <si>
    <t>объём - 1,14 м3 ИП Лыков</t>
  </si>
  <si>
    <t>40х50х6000 - 5 шт - 26000р\м3</t>
  </si>
  <si>
    <t>объём - 0,06 м3 ИП Лыков</t>
  </si>
  <si>
    <t>доставка досок</t>
  </si>
  <si>
    <t xml:space="preserve">уголок монтажный 60х80х80х2.5мм </t>
  </si>
  <si>
    <t>Опора бруса раскрытая OBR R 51х105х1,8мм 1 шт</t>
  </si>
  <si>
    <t>Шуруп конструкционный, для дерева, полусфера, TORX 30 6,0x100мм. 4 шт</t>
  </si>
  <si>
    <t>Гвозди оцинк 4х100 1кг 1 упак х 207.31р</t>
  </si>
  <si>
    <t> Гидроизоляция отсечная ТЕХНОНИКОЛЬ 0,2х20м</t>
  </si>
  <si>
    <t>Пескобетон М 300 (25кг) 4 мешка</t>
  </si>
  <si>
    <t>Уголок монтажный 90х90х40х1,8мм 7х34р</t>
  </si>
  <si>
    <t>Блок вентиляционный керамзитобетонный VB 20х20х40 U 2 CAN - 33 шт</t>
  </si>
  <si>
    <t>Блок вентиляционный керамзитобетонный VB 20х30х20 1 CAN</t>
  </si>
  <si>
    <t>Скобы каленые тип 53, 10мм, 1000шт, Miles 5х178.17</t>
  </si>
  <si>
    <t>Гвозди строительные 4х120мм 5кг 2 X 785.34</t>
  </si>
  <si>
    <t>Клей для блока Klester ZM 22 (25кг) 7 мешков</t>
  </si>
  <si>
    <t>Гвозди строительные 4х100мм 5кг х2</t>
  </si>
  <si>
    <t>5 литров антисептик для обработки древесины</t>
  </si>
  <si>
    <t>Мурат</t>
  </si>
  <si>
    <t>Перчатки полиэстер с полиуретановым обливом, 10/XL, черн, Sado Plus 4x69р</t>
  </si>
  <si>
    <t>Перчатки нейлон с нитриловым обливом, 10/XL, сер, Sado Plus 2пары</t>
  </si>
  <si>
    <t>Брусок нестроганый 50x50x3000 мм хвоя ФГИС ЛК 22 шт х 377р</t>
  </si>
  <si>
    <t>Шпатель зубчатый Интек 10108-150-010 150 мм, нержавеющая сталь, зуб 10x10 мм</t>
  </si>
  <si>
    <t>ЛеманаПРО</t>
  </si>
  <si>
    <t xml:space="preserve">Зонт для дымохода из нерж стали 0.6мм d=80 </t>
  </si>
  <si>
    <t>сборник конденсата для дымохода из нерж стали d=80</t>
  </si>
  <si>
    <t xml:space="preserve">тройник для дымохода из нерж стали d=80мм </t>
  </si>
  <si>
    <t>герметик для каминов силикатный titan professional черный 280мл</t>
  </si>
  <si>
    <t>труба для дымохода из нерж стали 0.6мм d=80 L=1m 960,30р х 4шт</t>
  </si>
  <si>
    <t>хомут метал 75 (21/2*) с шурупом 96.03р х 2шт</t>
  </si>
  <si>
    <t>уголок монтажный 90х90х40х1,8мм 43х27.99р</t>
  </si>
  <si>
    <t>Гвозди строительные 4х120мм 5 кг</t>
  </si>
  <si>
    <t>саморез по дереву 4,2х65мм 250 шт</t>
  </si>
  <si>
    <t>клей для блока KLESTER zm22 25 кг</t>
  </si>
  <si>
    <t>ЦПС м150 25 кг</t>
  </si>
  <si>
    <t>Канал круглый 100 мм х 1,5 м 10ВП1,5 ERA</t>
  </si>
  <si>
    <t xml:space="preserve">Заглушка D100 PDP пластик ERA </t>
  </si>
  <si>
    <t>соединитель круглых каналов D100vv 10СКП ERA 96,47x2шт</t>
  </si>
  <si>
    <t>тройник D100мм 10 тп ERA</t>
  </si>
  <si>
    <t>канал круглый 0.5м 100мм 188,10х2</t>
  </si>
  <si>
    <t>Герметик нейтральный силиконовый</t>
  </si>
  <si>
    <t>вычистка для дымохода из нерж стали с заглушкой 0.6 D=80мм</t>
  </si>
  <si>
    <t xml:space="preserve">труба для дымохода из нерж стали 0.6мм d=80 L=0.25m </t>
  </si>
  <si>
    <t xml:space="preserve"> Винт-шуруп (шпилька сантехническая) TORX 20 M10х100мм 4 шт</t>
  </si>
  <si>
    <t>Хомут с рез. упл. 100мм 4шт</t>
  </si>
  <si>
    <t>Уголок монтажный 40х80х80x1,8мм</t>
  </si>
  <si>
    <t>ИП Лукьянов Никита Антонович, ИНН 391201802940, 238563, Калининградская область, г.о. Светлогорский, г Светлогорск, ул Яблоневая, Дом 3, кв. 3</t>
  </si>
  <si>
    <t>Счет на оплату № УТ-223 от 27 мая 2026 г. - металлочерепица и комплектующие Эбис</t>
  </si>
  <si>
    <t>Счет на оплату № УТ-678 от 27 мая 2026 г. Эбис</t>
  </si>
  <si>
    <t>Общество с ограниченной ответственностью "ЭБИС", ИНН 3905601123, КПП 390601001, 236010, Калининградская обл, Калининград г, Кутузова ул, дом 37, квартира 3, тел.: +7(4012) 99-40-4</t>
  </si>
  <si>
    <t>Мурат строитель</t>
  </si>
  <si>
    <t>Доставка манипулятором металочерепицы и комплектующие</t>
  </si>
  <si>
    <t>Алексей грузоперевозки</t>
  </si>
  <si>
    <t xml:space="preserve">Перчатки полиэстер с полиуретановым обливом 10\xl черн. </t>
  </si>
  <si>
    <t>клей для блока KLESTER zm22 25 кг - 2 мешка</t>
  </si>
  <si>
    <t>соединитель круглых каналов D100vv 10СКП ERA 2 шт</t>
  </si>
  <si>
    <t>канал круглый 100мм 1 метр, 2 шт</t>
  </si>
  <si>
    <t>Гвозди ершёные оцинков. 4,2х40мм. 0,25кг</t>
  </si>
  <si>
    <t>Саморез с п/шайбой по дереву 3,8х45мм 50шт. 4 упак</t>
  </si>
  <si>
    <t>Замена коротких крюков на длинные (водосточная система)</t>
  </si>
  <si>
    <t>ООО "Мегаполис-Балтика"</t>
  </si>
  <si>
    <t>труба для дымохода из нерж. Стали 0.6мм d80 L=0.25м</t>
  </si>
  <si>
    <t>вентиляционный выход ventos x metal f22 d=150mm</t>
  </si>
  <si>
    <t>Эмаль-спрей акриловая color art 520ml ral7024</t>
  </si>
  <si>
    <t>100 мм (50 + 50 мм)</t>
  </si>
  <si>
    <t>клей + плитка</t>
  </si>
  <si>
    <t>нижний край проёма окна</t>
  </si>
  <si>
    <t xml:space="preserve">скорее всего 3 фазная розетка, сечение провода - </t>
  </si>
  <si>
    <t>Рулетка 5м х 19мм, Бауцентр</t>
  </si>
  <si>
    <t>Саморезы кровельные, графитово серые, RAL7024 4,8х35мм. 60шт.</t>
  </si>
  <si>
    <t>Саморезы кровельные, графитово серые, RAL7024 4,8х19мм. 70шт.</t>
  </si>
  <si>
    <t>планка снегозадержания 250 мм Satin matt grand line 7024 - 3 шт</t>
  </si>
  <si>
    <t>Плита ОСП-3 Муром 12 мм 2500x1250 мм 3.125 м2 - 45 шт</t>
  </si>
  <si>
    <t xml:space="preserve"> Уголок металлический 50x50x5.0 мм 3м - 5шт</t>
  </si>
  <si>
    <t>Дюбель нейлоновый D12x100mm 2 шт</t>
  </si>
  <si>
    <t>комплект дюбель d12x60mm шуруп с шестигр головкой d8x60mm 3 шт</t>
  </si>
  <si>
    <t>гвозди для пневмостеплера 1.4x30 mm 1000 шт</t>
  </si>
  <si>
    <t xml:space="preserve">Бауцентр </t>
  </si>
  <si>
    <t>шурупы универсальные 4.5х35мм желт 200шт</t>
  </si>
  <si>
    <t>трубка термоусаживаемая тут 6/3 набор (21шт 100 мм)</t>
  </si>
  <si>
    <t>шурупы универсальные 4.5х30мм желт 260шт fixberg</t>
  </si>
  <si>
    <t xml:space="preserve">шурупы универсальные 4х35 мм желт 230 шт </t>
  </si>
  <si>
    <t>Саморез по дереву 3,5х35 мм (200шт - упаковка)</t>
  </si>
  <si>
    <t xml:space="preserve">анкер втулочный с болтом d12x70mm fsl fischer 2 шт </t>
  </si>
  <si>
    <t>Шурупы универс. 3,5х40мм желт. 250шт FIXBERG</t>
  </si>
  <si>
    <t>Гвозди строительные 4,0x120мм 1кг</t>
  </si>
  <si>
    <t>Саморез д/г/пл.по мет. 4,8х100мм 30шт FIXBERG</t>
  </si>
  <si>
    <t>Пластина анкерная 140x55х2,5мм 2 шт</t>
  </si>
  <si>
    <t>Круги шлифовальные с отверстиями Р40,125мм, 5шт/уп., DORN</t>
  </si>
  <si>
    <t>Круг лепестковый торцевой 125 Х 22 мм цирконий Р 80 плоский Dorn PRO</t>
  </si>
  <si>
    <t>Ручка-скоба РС-120мм цинк</t>
  </si>
  <si>
    <t>Задвижка плоская ЗД 100мм цинк</t>
  </si>
  <si>
    <t>Петля накладная ПН1-110мм цинк левая</t>
  </si>
  <si>
    <t>Сверло по металлу 3,5мм HSS-Co 5% DORN PRO</t>
  </si>
  <si>
    <t>Сверло по металлу 3,5мм HSS-TiN DORN</t>
  </si>
  <si>
    <t>Индивидуальный предприниматель Плотников Игорь Владимирович Адрес: г. Калининград, Советскийпроспект, 286, с. 5.10 Телефон: 89937314527</t>
  </si>
  <si>
    <t>Заказ №0050 от 23.06.2026 г. Окна в дом</t>
  </si>
  <si>
    <t>Прожектор Диодный 70Вт 6000к онлайт</t>
  </si>
  <si>
    <t>провод гибкий круглый пвс 3х1.5 10 м</t>
  </si>
  <si>
    <t>Замок навесной чугунный вс14-060 extra 60х45мм алюр</t>
  </si>
  <si>
    <t>ввилка с заземл угловая в16-002</t>
  </si>
  <si>
    <t xml:space="preserve">клема 3х проводная wago 3шт </t>
  </si>
  <si>
    <t>вилка с заземл белая иэк</t>
  </si>
  <si>
    <t>термоусадочная трубка набор №5 rexant</t>
  </si>
  <si>
    <t>трубка термоусаживаемая тут 4/2 набор (21шт 100 мм)</t>
  </si>
  <si>
    <t>Пенополистирол экструдированный ТЕХНОПЛЕКС 1180х580х50 мм - 48 шт для цоколя</t>
  </si>
  <si>
    <t>Клей для пенополистирола ZM 01 KLESTER (25кг) 5 мешков для цоколя</t>
  </si>
  <si>
    <t>Клей для пенополистирола и сетки ZM 02 KLESTER (25кг) - 5 мешков для цоколя</t>
  </si>
  <si>
    <t>Сетка фасадная Крепикс 1800 1х50м (160г/м2) BauTex для цоколя</t>
  </si>
  <si>
    <t>Дюбель с термоголовкой д/пустотелых материалов D10x140мм 50 шт Koelner - 2 упак для цоколя</t>
  </si>
  <si>
    <t>ООО "Региональная кадастровая компания"</t>
  </si>
  <si>
    <t>кадастровые и геодезические работы - Регистрация дома</t>
  </si>
  <si>
    <t>утепление цоколя - работы</t>
  </si>
  <si>
    <t>Зафарбек</t>
  </si>
  <si>
    <t>Саморез д/г/пл.по дер.3,5х25мм 250шт FIXBERG</t>
  </si>
  <si>
    <t>Воздуховод круглый пластиковый 125 мм х 0,5 м 12,5ВП ERA</t>
  </si>
  <si>
    <t>Редуктор эксцентриковый D100/D150 мм 1015РЭП ERA</t>
  </si>
  <si>
    <t>Пена для полистерола + эппс</t>
  </si>
  <si>
    <t xml:space="preserve">Дюбель с пластиковым стержнем D10х140мм 50 шт Koelner x 2 </t>
  </si>
  <si>
    <t>Ручка-скоба РС-100-3 цинк</t>
  </si>
  <si>
    <t>Клей для пенополистирола и сетки ZM 02 KLESTER (25кг)</t>
  </si>
  <si>
    <t>Сетка фасадная Крепикс 1500 1х10м (145г/м2) BauTex</t>
  </si>
  <si>
    <t>строительный пылесос ПС-1400-15</t>
  </si>
  <si>
    <t>гидравлический ручной пресс для обжима наконечников кабеля</t>
  </si>
  <si>
    <t>комплект заземления grountok 3 метра</t>
  </si>
  <si>
    <t>паста кварцевазелиновая пкв защитная 20 мл</t>
  </si>
  <si>
    <t>Пароизоляционная пленка ТехноНИКОЛЬ МАСТЕР БАРЬЕР 4.0  = 2рулона</t>
  </si>
  <si>
    <t>штыревые наконечники для СИП16 = 8 шт</t>
  </si>
  <si>
    <t>сторона дома</t>
  </si>
  <si>
    <t>восток</t>
  </si>
  <si>
    <t>запад</t>
  </si>
  <si>
    <t>север</t>
  </si>
  <si>
    <t>юг</t>
  </si>
  <si>
    <t>площадь (м2)</t>
  </si>
  <si>
    <t>ширина (м)</t>
  </si>
  <si>
    <t>высота (м)</t>
  </si>
  <si>
    <t>площадь проёмов (м2)</t>
  </si>
  <si>
    <t>высота окна (м)</t>
  </si>
  <si>
    <t>ширина окна (м)</t>
  </si>
  <si>
    <t>высота окна двери на терасу (м)</t>
  </si>
  <si>
    <t>площадь утепления (м2)</t>
  </si>
  <si>
    <t>из общей площади -  площадь проёмов = площадь утепления</t>
  </si>
  <si>
    <t>высота малого окна (м)</t>
  </si>
  <si>
    <t>высота двери входной (м)</t>
  </si>
  <si>
    <t>проём один - окно из с\у</t>
  </si>
  <si>
    <t>два проёма</t>
  </si>
  <si>
    <t>общая площадь утепления (с запасом думаю = 160м2 пенопласта)</t>
  </si>
  <si>
    <t>Шина для PE, алмазный диск-коронка, ручка-скоба рс-100-3 цинк</t>
  </si>
  <si>
    <t>Грунтовка для стен, наконечники НШАМ 16</t>
  </si>
  <si>
    <t>провод пугв PE 1х10 -4 метра, провод ПУгВ черный 1х10 -5метров</t>
  </si>
  <si>
    <t>Данил</t>
  </si>
  <si>
    <t>Гурьевский пенополистерол</t>
  </si>
  <si>
    <t>Плита пеноп.ППС-16Ф (100мм) - 16.2 м3</t>
  </si>
  <si>
    <t>Плита пеноп.ППС-25 (50мм) - 14,7 м3</t>
  </si>
  <si>
    <t>Транспортные услуги</t>
  </si>
  <si>
    <t>ООО "БАУЦЕНТР РУС"</t>
  </si>
  <si>
    <t>Клей для пенополистирола ZM 01 KLESTER (25кг) - 30 мешков</t>
  </si>
  <si>
    <t>Клей для пенополистирола и сетки ZM 02 KLESTER (25кг) - 30 мешков</t>
  </si>
  <si>
    <t>Дюбель с пластиковым стержнем D10х180мм 50 шт Koelner - 18</t>
  </si>
  <si>
    <t>Дюбель с пластиковым стержнем D10х180мм 50 шт Koelner - 2</t>
  </si>
  <si>
    <t>Сетка фасадная Крепикс 1800 1х50м (160г/м2) BauTex - 4 рулона</t>
  </si>
  <si>
    <t>Уголок штукатурный ПВХ с пластиковой сеткой Крепикс 1300 100х150х2500 BauTex - 5 рулонов</t>
  </si>
  <si>
    <t>Клей-пена монтажная профессиональная 500 Professional 1000мл Технониколь - 2</t>
  </si>
  <si>
    <t>плёнка защитная с лентой, для вн работ 1.1х33м x-glass - 2 рулона</t>
  </si>
  <si>
    <t>лента малярная 48мм х 25м для наружных работ (синяя) Фрегат - 9шт</t>
  </si>
  <si>
    <t xml:space="preserve">наконечник штыревой втулочный изолированный 10 50шт ekf </t>
  </si>
  <si>
    <t>окно</t>
  </si>
  <si>
    <t>окно малое</t>
  </si>
  <si>
    <t>дверь-окно на террасу</t>
  </si>
  <si>
    <t>длинна (см)</t>
  </si>
  <si>
    <t>см</t>
  </si>
  <si>
    <t>м</t>
  </si>
  <si>
    <t>труба отоп_под_детская</t>
  </si>
  <si>
    <t>длинна с обратным трубопроводом (см)</t>
  </si>
  <si>
    <t>труба_отоп_под_бабуш</t>
  </si>
  <si>
    <t>труба_отоп_под_родит</t>
  </si>
  <si>
    <t>труба_отоп_под_сануз</t>
  </si>
  <si>
    <t>труба_отоп_под_тех</t>
  </si>
  <si>
    <t>труба_отоп_под_дверь_терр</t>
  </si>
  <si>
    <t>труба_отоп_под_кух_зап</t>
  </si>
  <si>
    <t>труба_отоп_под_кух_юг</t>
  </si>
  <si>
    <t>труба_отоп_под_гост_юг</t>
  </si>
  <si>
    <t>в метрах -&gt;</t>
  </si>
  <si>
    <t>Труба гофрированная ПВХ "легкая" 16мм с/з 10м Эра</t>
  </si>
  <si>
    <t>Клеммный зажим на DIN-рейку ЗНИ-10 синий - 4шт</t>
  </si>
  <si>
    <t>Профиль примыкающий оконный ПВХ с сеткой 9мм 2,4 м БауТекс - 20 шт</t>
  </si>
  <si>
    <t>Уголок штукатурный ПВХ с пластиковой сеткой Крепикс 1300 100х150х2500 BauTex - 24 шт</t>
  </si>
  <si>
    <t>Клей-пена монтажная профессиональная 500 Professional 1000мл Технониколь - 2шт</t>
  </si>
  <si>
    <t>ДОСТ-ИМ18 Услуга доставки товара из интернет магазина</t>
  </si>
  <si>
    <t>Выключатель автоматический 2п 4,5кА 16А С EKF</t>
  </si>
  <si>
    <t>Пенополистирол ППС 16Ф 1000x500x100мм - 8шт</t>
  </si>
  <si>
    <t>Провод гибкий круглый ПВС 3х2,5 5м ГОСТ</t>
  </si>
  <si>
    <t>сборка крыши - плёнка, обрешётка, контр обрешётка, металлочерепица, вентгрибок, ливнестоки</t>
  </si>
  <si>
    <t>Щиток электрический встраиваемый ЩРВ-П-54 TEKFOR,54 модуля</t>
  </si>
  <si>
    <t>aideLife насадка штроборез</t>
  </si>
  <si>
    <t>соединительная одностороняя лента Технониколь альфабэнд 60 - 8шт</t>
  </si>
  <si>
    <t>Колцо гидрозатвора на вентиляцию 4 шт</t>
  </si>
  <si>
    <t>Бутил-каучуковая лента двухстороняя - 10 рулонов</t>
  </si>
  <si>
    <t>Заглушка из пенополистирола для фасадных дюбелей (упак. 500 шт.) - 2 упак</t>
  </si>
  <si>
    <t>Уголок штукатурный ПВХ с пластиковой сеткой Крепикс 1300 100х150х2500 - 37 штук</t>
  </si>
  <si>
    <t>Тепло Авангард +7905 246 7672. +7962 253 26 41 Игорь Сергеевич П - Сбер</t>
  </si>
  <si>
    <t>17 ведёр силиконовой фасадной штукатурки (барашек) 1.5 мм фракция. 2 ведра грунта. Доставка 4000р</t>
  </si>
  <si>
    <t>утепление фасада</t>
  </si>
  <si>
    <t>саморез по дер 3,5х25мм 500 шт</t>
  </si>
  <si>
    <t>Клей-пена DONEWELL Мощная хватка</t>
  </si>
  <si>
    <t>ВИПЛАСТ Московский проспект 184</t>
  </si>
  <si>
    <t>Водоотлив антрацит (0.5) 6 шт 181 см х 17,5 см, 91 см х 17,5 см -2 шт</t>
  </si>
  <si>
    <t xml:space="preserve"> Кисть для красок 50мм, Акор - 2 шт</t>
  </si>
  <si>
    <t>Перчатки полиэстер с полиуретановым обливом, чер, 9/L, DORN - 5 пар</t>
  </si>
  <si>
    <t>ВНЕШНЕЕ УТЕПЛЕНИЕ ДОМА</t>
  </si>
  <si>
    <t>СТОИМОСТЬ РАБОТ</t>
  </si>
  <si>
    <t>РАБОТЫ ОТ ВСЕЙ СТОИМОСТИ</t>
  </si>
  <si>
    <t>СТОИМОСТЬ МАТЕРИАЛА</t>
  </si>
  <si>
    <t>АО "Газпром Газораспределение"</t>
  </si>
  <si>
    <t>оплата по договору ТП-КЛГ-389.26-ДГ</t>
  </si>
  <si>
    <t>клей-пена монтажная профессиональная 500 1000 мл Технониколь</t>
  </si>
  <si>
    <t>паста герметизирующая технониколь альфа пэйст 1,34 кг</t>
  </si>
  <si>
    <t>степлер тип 140 скобы 6-14мм miles</t>
  </si>
  <si>
    <t>лента одностороняя ondutiss fix tape 50 мм 50 м</t>
  </si>
  <si>
    <t>№</t>
  </si>
  <si>
    <t>цена</t>
  </si>
  <si>
    <t>наименование</t>
  </si>
  <si>
    <t>Труба металлопластиковая VALTEC PEX-AL-PEX 16х2,0 мм</t>
  </si>
  <si>
    <t>200 м</t>
  </si>
  <si>
    <t>Кабель ВВГп-нг(A)-LS 3х1,5 мм2 100 м твердый плоский Конкорд</t>
  </si>
  <si>
    <t>100 м</t>
  </si>
  <si>
    <t>Кабель ВВГп-нг(A)-LS 3х2,5 мм2 100 м твердый плоский Конкорд</t>
  </si>
  <si>
    <t>итого:</t>
  </si>
  <si>
    <t>Кабель ВВГ-пнг(A)-LS 3* 1,5 (ГОСТ) (плоский)</t>
  </si>
  <si>
    <t>Кабель ВВГ-пнг(A)-LS 3* 1,5 (ГОСТ) (плоский) ноунейм</t>
  </si>
  <si>
    <t>Кабель ВВГ-пнг(A)-LS 3*2,5 (ГОСТ) (плоский)</t>
  </si>
  <si>
    <t>Кабель ВВГ-пнг(A)-LS 3*2,5 (ГОСТ) (плоский) (бухтами по 100м) -0,66 зелёный</t>
  </si>
  <si>
    <t>Кабель Партнер-Электро ВВГпнг(A)-LS 3x2.5 100 м ГОСТ цвет черный</t>
  </si>
  <si>
    <t>Кабель Партнер-Электро ВВГпнг(A)-LS 3x1.5 100 м ГОСТ цвет черный</t>
  </si>
  <si>
    <t>ИП Савельев Электроцентр</t>
  </si>
  <si>
    <t>Кабель ВВГ-пнг(А)-LS 3*1,5 100 метров</t>
  </si>
  <si>
    <t>Кабель ВВГ-пнг(А)-LS 3*2,5 100 метров</t>
  </si>
  <si>
    <t>площадка под стяжку усиленная для прямого монтажа черная 50 шт, промрукав</t>
  </si>
  <si>
    <t>коробка распред 85\85\42 серая 5 шт</t>
  </si>
  <si>
    <t>коробка распред 80\80\40 черн 5 шт</t>
  </si>
  <si>
    <t>хомут 4,0 * 150 черн нейлон морозостойкое упак 100шт</t>
  </si>
  <si>
    <t>труба гофр ПВХ 20 мм серая с зондом IEK 100 метров</t>
  </si>
  <si>
    <t>труба металопластиковая pex-al-pex 16x2.0 valtec 200 метров -бухта</t>
  </si>
  <si>
    <t>колодка клеммная 12 пар (2,5-6,0 мм2) 10А черная iek</t>
  </si>
  <si>
    <t>крепление для ппр труб 16 (10шт упак) 2 упак</t>
  </si>
  <si>
    <t>Регулятор напряжения и мощности, диммер 220V 4000 Вт (4 кВт)</t>
  </si>
  <si>
    <t xml:space="preserve">очиститель незатвердевшей монтажной пены 500 мл Технониколь </t>
  </si>
  <si>
    <t>клей пена монтажная профессионал 500 - 1000 мл Технониколь</t>
  </si>
  <si>
    <t xml:space="preserve">стажка кабельная 2,5 х 169мм черная 100 шт safeline </t>
  </si>
  <si>
    <t xml:space="preserve">дюбель хомут 10/5 плоский черный 50 шт ekf </t>
  </si>
  <si>
    <t xml:space="preserve">площадка под стяжку компакт 16х23  белая 100шт / упак dynel </t>
  </si>
  <si>
    <t xml:space="preserve">дюбель хомут 14/6 плоский черный 50 шт ekf </t>
  </si>
  <si>
    <t xml:space="preserve">скобы тип 140 12мм 1000шт dorn </t>
  </si>
  <si>
    <t>Коронка по бетону SDS-Plus 80мм с хвостовиком DORN (для коробок расключения )</t>
  </si>
  <si>
    <t>ИП Зверев Электроцентр</t>
  </si>
  <si>
    <t xml:space="preserve">кабель ввгп-нг ls 3x2,5 мм2 - 50 метров; гофра труба пвх 100 метров; </t>
  </si>
  <si>
    <t>дюбель хомут; стяжки</t>
  </si>
  <si>
    <t>Труба гофрированная ПВХ 25мм с/з 15м IEK</t>
  </si>
  <si>
    <t>кабель ВВГ нг(А) ls 5x4 mm2 круглый 8 метров</t>
  </si>
  <si>
    <t>кабель ВВГ-пнг-ls 3х2,5 мм2 50 метров</t>
  </si>
  <si>
    <t xml:space="preserve">щётка смётка econova </t>
  </si>
  <si>
    <t xml:space="preserve">совок пластиковый </t>
  </si>
  <si>
    <t>кабель твёрдый плоский ввгп-нг-ls 3x2,5 мм2 50 метров ПРОМЭКО</t>
  </si>
  <si>
    <t>Маркер разметочный 3мм чёрный 2 шт</t>
  </si>
  <si>
    <t xml:space="preserve">полумаска изолирующая исток -300/400 с фильтрами А1Р1 </t>
  </si>
  <si>
    <t>фильтр комбинированный к полумаске исток 300/400 а1р1 2 шт в упак</t>
  </si>
  <si>
    <t>кабель твёрдый плоский ввгп-нг-ls 3x2,5 мм2 20 метров ПРОМЭКО</t>
  </si>
  <si>
    <t>Труба гофрированная ПВХ "легкая" 20мм с/з 25м Эра</t>
  </si>
  <si>
    <t>угловая шлифмашинка 150мм 1500 Вт регул оборотов HAG15150EC hanskonner</t>
  </si>
  <si>
    <t xml:space="preserve">стальной лист 0.2х125х250 см + 2 полосы п 6 м.  </t>
  </si>
  <si>
    <t>КСМ39, ООО СИТ лист ГК 2х1250х2500 мм - 4100Р; полоса 25х4х6000мм 2шт - 1040р</t>
  </si>
  <si>
    <t>Воздуховод круглый пластиковый 100 мм х 1 м 10ВП1 ERA</t>
  </si>
  <si>
    <t>Воздуховод круглый пластиковый 100 мм х 1,5 м 10ВП1,5 ERA</t>
  </si>
  <si>
    <t>соединитель фасонных элементов (отрезок канала) fc d100 пластик ЭРА</t>
  </si>
  <si>
    <t xml:space="preserve">гильза медная лужённая гмл 6-4 10 шт </t>
  </si>
  <si>
    <t xml:space="preserve">гильза медная лужённая гмл 10-5 10 шт </t>
  </si>
  <si>
    <t>труба металопластиковая pex-al-pex 20x2.0 valtec 50 метров</t>
  </si>
  <si>
    <t>ООО "Контур Лидер" контуртерм</t>
  </si>
  <si>
    <t>котёл газовый двухконтурный Haier TechLine S 2.24 TW 3,4-23,9 кВт (закрытая камера сгорания)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</si>
</sst>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&quot;₽&quot;_-;\-* #,##0.00\ &quot;₽&quot;_-;_-* &quot;-&quot;??\ &quot;₽&quot;_-;_-@_-"/>
    <numFmt numFmtId="165" formatCode="#,##0.00\ &quot;₽&quot;"/>
    <numFmt numFmtId="166" formatCode="#,##0.00\ &quot;р.&quot;"/>
  </numFmts>
  <fonts count="39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8"/>
      <color rgb="FF304D5D"/>
      <name val="Arial"/>
      <family val="2"/>
      <charset val="204"/>
    </font>
    <font>
      <sz val="11"/>
      <color rgb="FF304D5D"/>
      <name val="Calibri"/>
      <family val="2"/>
      <charset val="204"/>
      <scheme val="minor"/>
    </font>
    <font>
      <sz val="10"/>
      <color rgb="FF222222"/>
      <name val="Arial"/>
      <family val="2"/>
      <charset val="204"/>
    </font>
    <font>
      <sz val="11"/>
      <color rgb="FF00306F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C000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  <font>
      <sz val="12"/>
      <color rgb="FF21282B"/>
      <name val="Segoe UI"/>
      <family val="2"/>
      <charset val="204"/>
    </font>
    <font>
      <b/>
      <sz val="11"/>
      <color rgb="FF00306F"/>
      <name val="Calibri"/>
      <family val="2"/>
      <charset val="204"/>
      <scheme val="minor"/>
    </font>
    <font>
      <sz val="11"/>
      <color rgb="FF00306F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A0A0A"/>
      <name val="Arial"/>
      <family val="2"/>
      <charset val="204"/>
    </font>
    <font>
      <b/>
      <sz val="12"/>
      <color rgb="FF0A0A0A"/>
      <name val="Arial"/>
      <family val="2"/>
      <charset val="204"/>
    </font>
    <font>
      <sz val="8"/>
      <color rgb="FF56595E"/>
      <name val="Arial"/>
      <family val="2"/>
      <charset val="204"/>
    </font>
    <font>
      <i/>
      <sz val="12"/>
      <color rgb="FF0A0A0A"/>
      <name val="Arial"/>
      <family val="2"/>
      <charset val="204"/>
    </font>
    <font>
      <sz val="15"/>
      <color rgb="FF0A0A0A"/>
      <name val="Arial"/>
      <family val="2"/>
      <charset val="204"/>
    </font>
    <font>
      <sz val="8"/>
      <color rgb="FF545D7E"/>
      <name val="Arial"/>
      <family val="2"/>
      <charset val="204"/>
    </font>
    <font>
      <sz val="11"/>
      <color rgb="FF2C2D2E"/>
      <name val="Arial"/>
      <family val="2"/>
      <charset val="204"/>
    </font>
    <font>
      <sz val="11"/>
      <color rgb="FF2C2D2E"/>
      <name val="Calibri"/>
      <family val="2"/>
      <charset val="204"/>
      <scheme val="minor"/>
    </font>
    <font>
      <sz val="11"/>
      <color rgb="FF666666"/>
      <name val="Calibri"/>
      <family val="2"/>
      <charset val="204"/>
      <scheme val="minor"/>
    </font>
    <font>
      <sz val="11"/>
      <color rgb="FF242429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61D37"/>
      <name val="Formular Regular"/>
    </font>
    <font>
      <sz val="10"/>
      <color theme="1"/>
      <name val="Calibri"/>
      <family val="2"/>
      <charset val="204"/>
      <scheme val="minor"/>
    </font>
    <font>
      <sz val="10"/>
      <color rgb="FF21282B"/>
      <name val="Calibri"/>
      <family val="2"/>
      <charset val="204"/>
      <scheme val="minor"/>
    </font>
    <font>
      <sz val="11"/>
      <color rgb="FF070707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9" fontId="34" fillId="0" borderId="0" applyFont="0" applyFill="0" applyBorder="0" applyAlignment="0" applyProtection="0"/>
    <xf numFmtId="164" fontId="34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1" applyAlignment="1" applyProtection="1"/>
    <xf numFmtId="0" fontId="3" fillId="0" borderId="0" xfId="0" applyFont="1"/>
    <xf numFmtId="165" fontId="0" fillId="0" borderId="0" xfId="0" applyNumberFormat="1"/>
    <xf numFmtId="0" fontId="0" fillId="0" borderId="0" xfId="0" applyBorder="1"/>
    <xf numFmtId="165" fontId="0" fillId="0" borderId="0" xfId="0" applyNumberFormat="1" applyBorder="1"/>
    <xf numFmtId="0" fontId="0" fillId="2" borderId="0" xfId="0" applyFill="1"/>
    <xf numFmtId="166" fontId="0" fillId="0" borderId="0" xfId="0" applyNumberFormat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 wrapText="1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5" fillId="3" borderId="0" xfId="0" applyFont="1" applyFill="1"/>
    <xf numFmtId="0" fontId="10" fillId="0" borderId="0" xfId="0" applyFont="1"/>
    <xf numFmtId="0" fontId="10" fillId="3" borderId="0" xfId="0" applyFont="1" applyFill="1" applyAlignment="1">
      <alignment horizontal="left" vertical="top" wrapText="1"/>
    </xf>
    <xf numFmtId="166" fontId="11" fillId="0" borderId="0" xfId="0" applyNumberFormat="1" applyFont="1"/>
    <xf numFmtId="0" fontId="12" fillId="0" borderId="0" xfId="0" applyFont="1"/>
    <xf numFmtId="166" fontId="12" fillId="0" borderId="0" xfId="0" applyNumberFormat="1" applyFont="1"/>
    <xf numFmtId="14" fontId="12" fillId="0" borderId="0" xfId="0" applyNumberFormat="1" applyFont="1"/>
    <xf numFmtId="0" fontId="0" fillId="0" borderId="0" xfId="0" applyAlignment="1">
      <alignment horizontal="right"/>
    </xf>
    <xf numFmtId="0" fontId="1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9" fontId="0" fillId="0" borderId="0" xfId="0" applyNumberFormat="1"/>
    <xf numFmtId="0" fontId="15" fillId="0" borderId="0" xfId="0" applyFont="1"/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horizontal="center"/>
    </xf>
    <xf numFmtId="0" fontId="0" fillId="4" borderId="0" xfId="0" applyFill="1"/>
    <xf numFmtId="0" fontId="7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Fill="1"/>
    <xf numFmtId="0" fontId="0" fillId="0" borderId="0" xfId="0" applyFill="1"/>
    <xf numFmtId="0" fontId="7" fillId="2" borderId="0" xfId="0" applyFont="1" applyFill="1"/>
    <xf numFmtId="0" fontId="0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166" fontId="18" fillId="0" borderId="0" xfId="0" applyNumberFormat="1" applyFont="1"/>
    <xf numFmtId="0" fontId="12" fillId="3" borderId="0" xfId="0" applyFont="1" applyFill="1" applyAlignment="1">
      <alignment horizontal="left" vertical="center" wrapText="1"/>
    </xf>
    <xf numFmtId="166" fontId="19" fillId="3" borderId="0" xfId="0" applyNumberFormat="1" applyFont="1" applyFill="1" applyAlignment="1">
      <alignment horizontal="right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2"/>
    </xf>
    <xf numFmtId="0" fontId="26" fillId="0" borderId="0" xfId="0" applyFont="1" applyAlignment="1">
      <alignment horizontal="left" vertical="center" indent="2"/>
    </xf>
    <xf numFmtId="0" fontId="29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indent="1"/>
    </xf>
    <xf numFmtId="0" fontId="30" fillId="0" borderId="0" xfId="0" applyFont="1"/>
    <xf numFmtId="0" fontId="0" fillId="0" borderId="0" xfId="0" applyFont="1"/>
    <xf numFmtId="0" fontId="31" fillId="0" borderId="0" xfId="0" applyFont="1"/>
    <xf numFmtId="0" fontId="32" fillId="0" borderId="0" xfId="0" applyFont="1" applyAlignment="1">
      <alignment vertical="center" wrapText="1"/>
    </xf>
    <xf numFmtId="0" fontId="0" fillId="0" borderId="0" xfId="0" applyNumberFormat="1"/>
    <xf numFmtId="0" fontId="33" fillId="0" borderId="0" xfId="0" applyFont="1" applyAlignment="1">
      <alignment vertical="center" wrapText="1"/>
    </xf>
    <xf numFmtId="9" fontId="0" fillId="0" borderId="0" xfId="2" applyFont="1"/>
    <xf numFmtId="0" fontId="0" fillId="0" borderId="1" xfId="0" applyBorder="1"/>
    <xf numFmtId="166" fontId="0" fillId="0" borderId="1" xfId="0" applyNumberFormat="1" applyBorder="1"/>
    <xf numFmtId="0" fontId="35" fillId="0" borderId="0" xfId="0" applyFont="1"/>
    <xf numFmtId="164" fontId="0" fillId="0" borderId="0" xfId="3" applyFont="1"/>
    <xf numFmtId="0" fontId="36" fillId="0" borderId="0" xfId="0" applyFont="1" applyAlignment="1">
      <alignment vertical="center" wrapText="1"/>
    </xf>
    <xf numFmtId="0" fontId="37" fillId="0" borderId="0" xfId="0" applyFont="1"/>
    <xf numFmtId="0" fontId="38" fillId="0" borderId="0" xfId="0" applyFont="1" applyAlignment="1">
      <alignment vertical="center" wrapText="1"/>
    </xf>
  </cellXfs>
  <cellStyles count="4">
    <cellStyle name="Гиперссылка" xfId="1" builtinId="8"/>
    <cellStyle name="Денежный" xfId="3" builtinId="4"/>
    <cellStyle name="Обычный" xfId="0" builtinId="0"/>
    <cellStyle name="Процентный" xfId="2" builtinId="5"/>
  </cellStyles>
  <dxfs count="41">
    <dxf>
      <numFmt numFmtId="19" formatCode="dd/mm/yyyy"/>
    </dxf>
    <dxf>
      <numFmt numFmtId="166" formatCode="#,##0.00\ &quot;р.&quot;"/>
    </dxf>
    <dxf>
      <border diagonalUp="0" diagonalDown="0" outline="0">
        <left/>
        <right/>
        <top/>
        <bottom/>
      </border>
    </dxf>
    <dxf>
      <numFmt numFmtId="165" formatCode="#,##0.00\ &quot;₽&quot;"/>
      <border diagonalUp="0" diagonalDown="0" outline="0">
        <left/>
        <right/>
        <top/>
        <bottom/>
      </border>
    </dxf>
    <dxf>
      <numFmt numFmtId="165" formatCode="#,##0.00\ &quot;₽&quot;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numFmt numFmtId="166" formatCode="#,##0.00\ &quot;р.&quot;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#,##0.00\ &quot;₽&quot;"/>
    </dxf>
    <dxf>
      <numFmt numFmtId="165" formatCode="#,##0.00\ &quot;₽&quot;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61D37"/>
        <name val="Formular Regular"/>
        <scheme val="none"/>
      </font>
    </dxf>
    <dxf>
      <numFmt numFmtId="19" formatCode="dd/mm/yyyy"/>
    </dxf>
    <dxf>
      <numFmt numFmtId="166" formatCode="#,##0.00\ &quot;р.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2049" name="img-lLixaYSIE4q3wPAPwPSOkA4_1" descr="x2dom.ru"/>
        <xdr:cNvSpPr>
          <a:spLocks noChangeAspect="1" noChangeArrowheads="1"/>
        </xdr:cNvSpPr>
      </xdr:nvSpPr>
      <xdr:spPr bwMode="auto">
        <a:xfrm>
          <a:off x="609600" y="55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2050" name="img-lLixaYSIE4q3wPAPwPSOkA4_2" descr="ГК Новые технологии"/>
        <xdr:cNvSpPr>
          <a:spLocks noChangeAspect="1" noChangeArrowheads="1"/>
        </xdr:cNvSpPr>
      </xdr:nvSpPr>
      <xdr:spPr bwMode="auto">
        <a:xfrm>
          <a:off x="60960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051" name="img-lLixaYSIE4q3wPAPwPSOkA4_3" descr="АО «Газпром газораспределение Петрозаводск"/>
        <xdr:cNvSpPr>
          <a:spLocks noChangeAspect="1" noChangeArrowheads="1"/>
        </xdr:cNvSpPr>
      </xdr:nvSpPr>
      <xdr:spPr bwMode="auto">
        <a:xfrm>
          <a:off x="609600" y="164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2052" name="img-lLixaYSIE4q3wPAPwPSOkA4_4" descr="xn--11-6kca3c6bt.xn--p1ai"/>
        <xdr:cNvSpPr>
          <a:spLocks noChangeAspect="1" noChangeArrowheads="1"/>
        </xdr:cNvSpPr>
      </xdr:nvSpPr>
      <xdr:spPr bwMode="auto">
        <a:xfrm>
          <a:off x="609600" y="3792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2053" name="img-5baxadmXD42RwPAP1fTFqAo_1" descr="www.allb.ru"/>
        <xdr:cNvSpPr>
          <a:spLocks noChangeAspect="1" noChangeArrowheads="1"/>
        </xdr:cNvSpPr>
      </xdr:nvSpPr>
      <xdr:spPr bwMode="auto">
        <a:xfrm>
          <a:off x="7048500" y="12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</xdr:colOff>
      <xdr:row>9</xdr:row>
      <xdr:rowOff>114300</xdr:rowOff>
    </xdr:to>
    <xdr:sp macro="" textlink="">
      <xdr:nvSpPr>
        <xdr:cNvPr id="2054" name="img-5baxadmXD42RwPAP1fTFqAo_2" descr="ТеплоВсем"/>
        <xdr:cNvSpPr>
          <a:spLocks noChangeAspect="1" noChangeArrowheads="1"/>
        </xdr:cNvSpPr>
      </xdr:nvSpPr>
      <xdr:spPr bwMode="auto">
        <a:xfrm>
          <a:off x="704850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4" name="Таблица4" displayName="Таблица4" ref="B5:F612" totalsRowCount="1">
  <autoFilter ref="B5:F611"/>
  <tableColumns count="5">
    <tableColumn id="1" name="№ п/п"/>
    <tableColumn id="2" name="Наименование "/>
    <tableColumn id="3" name="Цена (руб)" totalsRowFunction="sum" dataDxfId="40" totalsRowDxfId="1"/>
    <tableColumn id="4" name="Примечание"/>
    <tableColumn id="5" name="дата" dataDxfId="39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3" name="Таблица23" displayName="Таблица23" ref="I3:L7" totalsRowShown="0">
  <autoFilter ref="I3:L7"/>
  <tableColumns count="4">
    <tableColumn id="1" name="№"/>
    <tableColumn id="2" name="наименование" dataDxfId="38"/>
    <tableColumn id="3" name="количество"/>
    <tableColumn id="4" name="цена" dataDxfId="37" dataCellStyle="Денежный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6" name="Таблица26" displayName="Таблица26" ref="I10:L14" totalsRowShown="0">
  <autoFilter ref="I10:L14"/>
  <tableColumns count="4">
    <tableColumn id="1" name="№"/>
    <tableColumn id="2" name="наименование" dataDxfId="36"/>
    <tableColumn id="3" name="количество"/>
    <tableColumn id="4" name="цена" dataDxfId="35" dataCellStyle="Денежный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24" name="Таблица24" displayName="Таблица24" ref="B2:G7" totalsRowShown="0">
  <autoFilter ref="B2:G7"/>
  <tableColumns count="6">
    <tableColumn id="1" name="сторона дома"/>
    <tableColumn id="2" name="ширина (м)"/>
    <tableColumn id="3" name="высота (м)"/>
    <tableColumn id="4" name="площадь проёмов (м2)" dataDxfId="34">
      <calculatedColumnFormula>M3*2+M7</calculatedColumnFormula>
    </tableColumn>
    <tableColumn id="5" name="площадь утепления (м2)" dataDxfId="33">
      <calculatedColumnFormula>Таблица24[[#This Row],[ширина (м)]]*Таблица24[[#This Row],[высота (м)]]-Таблица24[[#This Row],[площадь проёмов (м2)]]</calculatedColumnFormula>
    </tableColumn>
    <tableColumn id="6" name="примечание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2" name="Таблица2" displayName="Таблица2" ref="A4:F28" totalsRowCount="1">
  <autoFilter ref="A4:F27"/>
  <tableColumns count="6">
    <tableColumn id="1" name="№ п/п" totalsRowLabel="Итого:" totalsRowDxfId="7"/>
    <tableColumn id="2" name="Тип" totalsRowDxfId="6"/>
    <tableColumn id="3" name="Количество (М3/шт)" totalsRowDxfId="5"/>
    <tableColumn id="4" name="Цена  (м3 или штук)" dataDxfId="32" totalsRowDxfId="4"/>
    <tableColumn id="5" name="Сумма" totalsRowFunction="custom" dataDxfId="31" totalsRowDxfId="3">
      <calculatedColumnFormula>Таблица2[[#This Row],[Цена  (м3 или штук)]]*Таблица2[[#This Row],[Количество (М3/шт)]]</calculatedColumnFormula>
      <totalsRowFormula>SUM(E5:E27)</totalsRowFormula>
    </tableColumn>
    <tableColumn id="6" name="Примечание" totalsRowDxfId="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" name="Таблица1" displayName="Таблица1" ref="B2:D9" totalsRowShown="0">
  <autoFilter ref="B2:D9"/>
  <tableColumns count="3">
    <tableColumn id="1" name="Наименование"/>
    <tableColumn id="2" name="8 мм "/>
    <tableColumn id="3" name="12 мм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5" name="Таблица5" displayName="Таблица5" ref="A3:C10" totalsRowShown="0">
  <autoFilter ref="A3:C10"/>
  <tableColumns count="3">
    <tableColumn id="1" name="Название оси"/>
    <tableColumn id="2" name="Расстояние (мм)"/>
    <tableColumn id="3" name="комментарии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3" name="Таблица54" displayName="Таблица54" ref="E3:G10" totalsRowShown="0">
  <autoFilter ref="E3:G10"/>
  <tableColumns count="3">
    <tableColumn id="1" name="Название оси"/>
    <tableColumn id="2" name="Расстояние (мм)"/>
    <tableColumn id="3" name="комментарии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6" name="Таблица57" displayName="Таблица57" ref="A15:C22" totalsRowShown="0">
  <autoFilter ref="A15:C22"/>
  <tableColumns count="3">
    <tableColumn id="1" name="Название оси"/>
    <tableColumn id="2" name="Расстояние (мм)"/>
    <tableColumn id="3" name="комментарии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7" name="Таблица548" displayName="Таблица548" ref="E15:G22" totalsRowShown="0">
  <autoFilter ref="E15:G22"/>
  <tableColumns count="3">
    <tableColumn id="1" name="Название оси"/>
    <tableColumn id="2" name="Расстояние (мм)"/>
    <tableColumn id="3" name="комментарии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4" name="Таблица14" displayName="Таблица14" ref="G3:I9" totalsRowShown="0">
  <autoFilter ref="G3:I9"/>
  <tableColumns count="3">
    <tableColumn id="1" name="Наименование"/>
    <tableColumn id="2" name="высота (мм)"/>
    <tableColumn id="3" name="примечание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9" name="Таблица14910" displayName="Таблица14910" ref="B3:D9" totalsRowShown="0">
  <autoFilter ref="B3:D9"/>
  <tableColumns count="3">
    <tableColumn id="1" name="Наименование"/>
    <tableColumn id="2" name="высота (мм)"/>
    <tableColumn id="3" name="примечание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Таблица13" displayName="Таблица13" ref="B4:D15" totalsRowShown="0">
  <autoFilter ref="B4:D15"/>
  <tableColumns count="3">
    <tableColumn id="1" name="назначение"/>
    <tableColumn id="2" name="количество розеток (шт)" dataDxfId="30"/>
    <tableColumn id="3" name="примечание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id="15" name="Таблица1316" displayName="Таблица1316" ref="B19:D23" totalsRowShown="0">
  <autoFilter ref="B19:D23"/>
  <tableColumns count="3">
    <tableColumn id="1" name="назначение"/>
    <tableColumn id="2" name="количество (шт)" dataDxfId="29"/>
    <tableColumn id="3" name="примечание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id="16" name="Таблица131617" displayName="Таблица131617" ref="B28:D32" totalsRowShown="0">
  <autoFilter ref="B28:D32"/>
  <tableColumns count="3">
    <tableColumn id="1" name="назначение"/>
    <tableColumn id="2" name="количество (шт)" dataDxfId="28"/>
    <tableColumn id="3" name="примечание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id="17" name="Таблица13161718" displayName="Таблица13161718" ref="B36:D40" totalsRowShown="0">
  <autoFilter ref="B36:D40"/>
  <tableColumns count="3">
    <tableColumn id="1" name="назначение"/>
    <tableColumn id="2" name="количество (шт)" dataDxfId="27"/>
    <tableColumn id="3" name="примечание"/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id="18" name="Таблица1316171819" displayName="Таблица1316171819" ref="B44:D48" totalsRowShown="0">
  <autoFilter ref="B44:D48"/>
  <tableColumns count="3">
    <tableColumn id="1" name="назначение"/>
    <tableColumn id="2" name="количество (шт)" dataDxfId="26"/>
    <tableColumn id="3" name="примечание"/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id="19" name="Таблица131617181920" displayName="Таблица131617181920" ref="B52:D55" totalsRowShown="0">
  <autoFilter ref="B52:D55"/>
  <tableColumns count="3">
    <tableColumn id="1" name="назначение"/>
    <tableColumn id="2" name="количество (шт)" dataDxfId="25"/>
    <tableColumn id="3" name="примечание"/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id="20" name="Таблица13161721" displayName="Таблица13161721" ref="B59:D68" totalsRowShown="0">
  <autoFilter ref="B59:D68"/>
  <tableColumns count="3">
    <tableColumn id="1" name="назначение"/>
    <tableColumn id="2" name="количество (шт)" dataDxfId="24"/>
    <tableColumn id="3" name="примечание"/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id="22" name="Таблица13161718192023" displayName="Таблица13161718192023" ref="B69:D72" totalsRowShown="0">
  <autoFilter ref="B69:D72"/>
  <tableColumns count="3">
    <tableColumn id="1" name="назначение"/>
    <tableColumn id="2" name="количество (шт)" dataDxfId="23"/>
    <tableColumn id="3" name="примечание"/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id="8" name="Таблица8" displayName="Таблица8" ref="B4:C17" totalsRowShown="0">
  <autoFilter ref="B4:C17"/>
  <tableColumns count="2">
    <tableColumn id="1" name="Комплектующие\Магазины"/>
    <tableColumn id="2" name=" Цена в Бауцентр (руб)" dataDxfId="22"/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id="10" name="Таблица811" displayName="Таблица811" ref="E4:L17" totalsRowShown="0">
  <autoFilter ref="E4:L17"/>
  <tableColumns count="8">
    <tableColumn id="1" name="Комплектующие\Магазины"/>
    <tableColumn id="2" name=" Legrand" dataDxfId="21"/>
    <tableColumn id="6" name="Dekraft" dataDxfId="20"/>
    <tableColumn id="7" name="EKF" dataDxfId="19"/>
    <tableColumn id="8" name="TDM electric" dataDxfId="18"/>
    <tableColumn id="9" name="IEK" dataDxfId="17"/>
    <tableColumn id="10" name="Спец 800вт" dataDxfId="16"/>
    <tableColumn id="11" name="Столбец1" dataDxfId="15"/>
  </tableColumns>
  <tableStyleInfo name="TableStyleLight10" showFirstColumn="0" showLastColumn="0" showRowStripes="1" showColumnStripes="0"/>
</table>
</file>

<file path=xl/tables/table23.xml><?xml version="1.0" encoding="utf-8"?>
<table xmlns="http://schemas.openxmlformats.org/spreadsheetml/2006/main" id="21" name="Таблица81122" displayName="Таблица81122" ref="E22:L35" totalsRowShown="0">
  <autoFilter ref="E22:L35"/>
  <tableColumns count="8">
    <tableColumn id="1" name="Комплектующие\Магазины"/>
    <tableColumn id="2" name=" Legrand" dataDxfId="14"/>
    <tableColumn id="6" name="Dekraft" dataDxfId="13"/>
    <tableColumn id="7" name="EKF" dataDxfId="12"/>
    <tableColumn id="8" name="TDM electric" dataDxfId="11"/>
    <tableColumn id="9" name="IEK" dataDxfId="10"/>
    <tableColumn id="10" name="Спец 800вт" dataDxfId="9"/>
    <tableColumn id="11" name="Etimat" dataDxfId="8"/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id="11" name="Таблица11" displayName="Таблица11" ref="B3:D8" totalsRowShown="0">
  <autoFilter ref="B3:D8"/>
  <tableColumns count="3">
    <tableColumn id="1" name="Сечение (мм)"/>
    <tableColumn id="2" name="количество (шт - м.п)"/>
    <tableColumn id="3" name="примечание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12" name="Таблица12" displayName="Таблица12" ref="B14:F19" totalsRowShown="0">
  <autoFilter ref="B14:F19"/>
  <tableColumns count="5">
    <tableColumn id="1" name="размеры"/>
    <tableColumn id="2" name="количество"/>
    <tableColumn id="3" name="цена на м3"/>
    <tableColumn id="4" name="объём"/>
    <tableColumn id="5" name="сумма (руб)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service.leroymerlin.ru/ru/go2_link_tracker?uid=NDgwNjQyMQ~~&amp;hash=UbsDJ9aXeZCcGvE66IJxw4X3CD0Iui9ekQbWnlL2Wl8UDZtm4k41nLNFo-rCriI4cekbwAM5OQYX0SF7C3ScJXr_7utG1-vtr8IIPLg4-3ee-eZ6CqcSppGomWeFtz0QcOF-9audykj74_ei7DBBlvRs1HcoBJg4QdFyybhbTnK5ewmy9I0lRdAngr2RN33O6_s9CQCzOfigY33ClgYB3z83CMBhs0fGgfqDwnFf4fhybqreSNW2nCVeCGifz4eSjYQ8SIQKJtDBK2v8h-jvSahK3Up4ywKoGxFyMmWlvnxLsf8UlvV8serFpz1qJVVZd2h4q3kKVfk~&amp;url=aHR0cHM6Ly9rYWxpbmluZ3JhZC5sZXJveW1lcmxpbi5ydS9wcm9kdWN0L2dlb3Rla3N0aWwtaWdsb3Byb2Jpdm5veS1heHRvbi0xeDUwLW0tMTUwLWctbS04NTQ3ODMwMj9mcm9tbT1CMkJfZGVsaXZlcnk~&amp;ucs=4026f772799a55da24015fb4f546aa8a" TargetMode="External"/><Relationship Id="rId7" Type="http://schemas.openxmlformats.org/officeDocument/2006/relationships/hyperlink" Target="http://baucenter.ru/product/maklovitsa-korvus-150kh70-mm-ctg-29290-30646-30652-700000213/" TargetMode="External"/><Relationship Id="rId2" Type="http://schemas.openxmlformats.org/officeDocument/2006/relationships/hyperlink" Target="https://service.leroymerlin.ru/ru/go2_link_tracker?uid=NDgwNjQyMQ~~&amp;hash=UbsDJ9aXeZCW9ejATz0-4oX3CD0Iui9ekQbWnlL2Wl8UDZtm4k41nLNFo-rCriI4cekbwAM5OQYX0SF7C3ScJXr_7utG1-vtr8IIPLg4-3ee-eZ6CqcSppGomWeFtz0QcOF-9audykj74_ei7DBBlvRs1HcoBJg4QdFyybhbTnK5ewmy9I0lRdAngr2RN33O6_s9CQCzOfigY33ClgYB3z83CMBhs0fGgfqDwnFf4fhybqreSNW2nCVeCGifz4eSjYQ8SIQKJtCb4PE9IiKruSS8XddKLNSj7DVO-nyGp3uRm2c9fnwHZO4WKZ_QDq1_d2h4q3kKVfk~&amp;url=aHR0cHM6Ly9rYWxpbmluZ3JhZC5sZXJveW1lcmxpbi5ydS9wcm9kdWN0L2JldG9ub3NtZXNpdGVsLWtyb253ZXJrLTEyMC1sLTUwMC12dC04MjczOTMyMz9mcm9tbT1CMkJfZGVsaXZlcnk~&amp;ucs=c5d8bd1db3da790fa3adb41e3628e8d1" TargetMode="External"/><Relationship Id="rId1" Type="http://schemas.openxmlformats.org/officeDocument/2006/relationships/hyperlink" Target="https://service.leroymerlin.ru/ru/go2_link_tracker?uid=NDgwNjQyMQ~~&amp;hash=UbsDJ9aXeZC_DIR0aAj_WoX3CD0Iui9ekQbWnlL2Wl8UDZtm4k41nLNFo-rCriI4cekbwAM5OQYX0SF7C3ScJXr_7utG1-vtr8IIPLg4-3ee-eZ6CqcSppGomWeFtz0QcOF-9audykj74_ei7DBBlvRs1HcoBJg4QdFyybhbTnK5ewmy9I0lRdAngr2RN33O6_s9CQCzOfigY33ClgYB3z83CMBhs0fGgfqDwnFf4fhybqreSNW2nCVeCGifz4eSjYQ8SIQKJtBqJTCMGgM3ApyIsPfcherC4GPgCMMJnXrUyVXtq6V0fQFIzuUSMXfjd2h4q3kKVfk~&amp;url=aHR0cHM6Ly9rYWxpbmluZ3JhZC5sZXJveW1lcmxpbi5ydS9wcm9kdWN0L3NldGthLWtsYWRvY2huYXlhLXNodHJlay0xNXgxMjV4MDR4OTAtbW0tMjAtbS0xODQ2Mzg4MD9mcm9tbT1CMkJfZGVsaXZlcnk~&amp;ucs=958ddce0e82982951dafeb5fa6a5d099" TargetMode="External"/><Relationship Id="rId6" Type="http://schemas.openxmlformats.org/officeDocument/2006/relationships/hyperlink" Target="http://baucenter.ru/product/truba-vest-plast-pnd-d32kh2-mm-25-m-ctg-29189-30544-30556-440000544/" TargetMode="External"/><Relationship Id="rId5" Type="http://schemas.openxmlformats.org/officeDocument/2006/relationships/hyperlink" Target="http://baucenter.ru/product/otsechnaya-gidroizolyatsiya-0-4kh20-m-ctg-29116-30768-30780-528000348/" TargetMode="External"/><Relationship Id="rId4" Type="http://schemas.openxmlformats.org/officeDocument/2006/relationships/hyperlink" Target="http://baucenter.ru/product/tsement-i-42-5-h-m500-d0-25-kg-ctg-29116-29171-29172-511001507/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lenar.ru/page/stoimost-i-sposoby-dostavki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6" Type="http://schemas.openxmlformats.org/officeDocument/2006/relationships/comments" Target="../comments1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I9"/>
  <sheetViews>
    <sheetView workbookViewId="0">
      <selection activeCell="E20" sqref="E20"/>
    </sheetView>
  </sheetViews>
  <sheetFormatPr defaultRowHeight="15"/>
  <cols>
    <col min="2" max="2" width="30.7109375" customWidth="1"/>
    <col min="3" max="3" width="19.42578125" customWidth="1"/>
    <col min="4" max="4" width="23.140625" customWidth="1"/>
    <col min="5" max="6" width="21.5703125" customWidth="1"/>
    <col min="7" max="7" width="20.42578125" customWidth="1"/>
    <col min="8" max="8" width="24.7109375" customWidth="1"/>
    <col min="9" max="9" width="11.85546875" customWidth="1"/>
  </cols>
  <sheetData>
    <row r="5" spans="2:9">
      <c r="C5" t="s">
        <v>143</v>
      </c>
      <c r="D5" t="s">
        <v>144</v>
      </c>
      <c r="E5" t="s">
        <v>145</v>
      </c>
      <c r="F5" t="s">
        <v>146</v>
      </c>
      <c r="G5" t="s">
        <v>147</v>
      </c>
      <c r="H5" t="s">
        <v>148</v>
      </c>
      <c r="I5" s="11" t="s">
        <v>149</v>
      </c>
    </row>
    <row r="6" spans="2:9">
      <c r="B6" t="s">
        <v>139</v>
      </c>
      <c r="C6">
        <v>11.85</v>
      </c>
      <c r="D6">
        <v>11.85</v>
      </c>
      <c r="E6">
        <v>13</v>
      </c>
      <c r="F6">
        <v>14.5</v>
      </c>
      <c r="G6">
        <v>11.6</v>
      </c>
      <c r="H6">
        <v>11.9</v>
      </c>
    </row>
    <row r="7" spans="2:9">
      <c r="B7" t="s">
        <v>140</v>
      </c>
      <c r="C7">
        <v>0.4</v>
      </c>
      <c r="D7">
        <v>0.4</v>
      </c>
      <c r="E7">
        <v>0.4</v>
      </c>
      <c r="F7">
        <v>0.4</v>
      </c>
      <c r="G7">
        <v>0.35</v>
      </c>
      <c r="H7">
        <v>0.35</v>
      </c>
    </row>
    <row r="8" spans="2:9">
      <c r="B8" t="s">
        <v>141</v>
      </c>
      <c r="C8">
        <v>1.05</v>
      </c>
      <c r="D8">
        <v>1.05</v>
      </c>
      <c r="E8">
        <v>1.05</v>
      </c>
      <c r="F8">
        <v>1.05</v>
      </c>
      <c r="G8">
        <v>1.05</v>
      </c>
      <c r="H8">
        <v>1.05</v>
      </c>
    </row>
    <row r="9" spans="2:9">
      <c r="B9" s="6" t="s">
        <v>142</v>
      </c>
      <c r="C9" s="6">
        <f t="shared" ref="C9:H9" si="0">C6*C7*C8</f>
        <v>4.9770000000000003</v>
      </c>
      <c r="D9" s="6">
        <f t="shared" si="0"/>
        <v>4.9770000000000003</v>
      </c>
      <c r="E9" s="6">
        <f t="shared" si="0"/>
        <v>5.4600000000000009</v>
      </c>
      <c r="F9" s="6">
        <f t="shared" si="0"/>
        <v>6.0900000000000007</v>
      </c>
      <c r="G9" s="6">
        <f t="shared" si="0"/>
        <v>4.2629999999999999</v>
      </c>
      <c r="H9" s="6">
        <f t="shared" si="0"/>
        <v>4.3732500000000005</v>
      </c>
      <c r="I9" s="12">
        <f>SUM(C9:H9)</f>
        <v>30.140250000000002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612"/>
  <sheetViews>
    <sheetView tabSelected="1" topLeftCell="A577" workbookViewId="0">
      <selection activeCell="C608" sqref="C608"/>
    </sheetView>
  </sheetViews>
  <sheetFormatPr defaultRowHeight="15"/>
  <cols>
    <col min="3" max="3" width="94.7109375" customWidth="1"/>
    <col min="4" max="4" width="22.5703125" customWidth="1"/>
    <col min="5" max="5" width="90.85546875" customWidth="1"/>
    <col min="6" max="6" width="11" customWidth="1"/>
    <col min="8" max="8" width="31.140625" customWidth="1"/>
    <col min="9" max="9" width="26.7109375" customWidth="1"/>
  </cols>
  <sheetData>
    <row r="3" spans="2:6" ht="18.75">
      <c r="C3" s="8" t="s">
        <v>50</v>
      </c>
    </row>
    <row r="5" spans="2:6">
      <c r="B5" t="s">
        <v>0</v>
      </c>
      <c r="C5" t="s">
        <v>40</v>
      </c>
      <c r="D5" t="s">
        <v>37</v>
      </c>
      <c r="E5" t="s">
        <v>6</v>
      </c>
      <c r="F5" t="s">
        <v>63</v>
      </c>
    </row>
    <row r="6" spans="2:6">
      <c r="B6">
        <v>1</v>
      </c>
      <c r="C6" t="s">
        <v>41</v>
      </c>
      <c r="D6" s="7">
        <v>1040000</v>
      </c>
      <c r="E6" t="s">
        <v>97</v>
      </c>
      <c r="F6" s="9">
        <v>45287</v>
      </c>
    </row>
    <row r="7" spans="2:6">
      <c r="B7">
        <v>2</v>
      </c>
      <c r="C7" t="s">
        <v>42</v>
      </c>
      <c r="D7" s="7">
        <v>2000</v>
      </c>
      <c r="E7" t="s">
        <v>43</v>
      </c>
      <c r="F7" s="9"/>
    </row>
    <row r="8" spans="2:6">
      <c r="B8">
        <v>3</v>
      </c>
      <c r="C8" t="s">
        <v>44</v>
      </c>
      <c r="D8" s="7">
        <v>4000</v>
      </c>
      <c r="E8" t="s">
        <v>45</v>
      </c>
      <c r="F8" s="9"/>
    </row>
    <row r="9" spans="2:6">
      <c r="B9">
        <v>4</v>
      </c>
      <c r="C9" t="s">
        <v>46</v>
      </c>
      <c r="D9" s="7">
        <v>41000</v>
      </c>
      <c r="E9" t="s">
        <v>47</v>
      </c>
      <c r="F9" s="9"/>
    </row>
    <row r="10" spans="2:6">
      <c r="B10">
        <v>5</v>
      </c>
      <c r="C10" t="s">
        <v>48</v>
      </c>
      <c r="D10" s="7">
        <v>10000</v>
      </c>
      <c r="E10" t="s">
        <v>53</v>
      </c>
      <c r="F10" s="9"/>
    </row>
    <row r="11" spans="2:6">
      <c r="B11">
        <v>6</v>
      </c>
      <c r="C11" t="s">
        <v>49</v>
      </c>
      <c r="D11" s="7">
        <v>15000</v>
      </c>
      <c r="F11" s="9"/>
    </row>
    <row r="12" spans="2:6">
      <c r="B12">
        <v>7</v>
      </c>
      <c r="C12" t="s">
        <v>39</v>
      </c>
      <c r="D12" s="7">
        <v>300</v>
      </c>
      <c r="E12" t="s">
        <v>76</v>
      </c>
      <c r="F12" s="9"/>
    </row>
    <row r="13" spans="2:6">
      <c r="B13">
        <v>8</v>
      </c>
      <c r="C13" t="s">
        <v>51</v>
      </c>
      <c r="D13" s="7">
        <v>139448.70000000001</v>
      </c>
      <c r="E13" t="s">
        <v>52</v>
      </c>
      <c r="F13" s="9"/>
    </row>
    <row r="14" spans="2:6">
      <c r="B14">
        <v>9</v>
      </c>
      <c r="C14" t="s">
        <v>54</v>
      </c>
      <c r="D14" s="7">
        <v>12000</v>
      </c>
      <c r="E14" t="s">
        <v>136</v>
      </c>
      <c r="F14" s="9"/>
    </row>
    <row r="15" spans="2:6">
      <c r="B15">
        <v>10</v>
      </c>
      <c r="C15" t="s">
        <v>55</v>
      </c>
      <c r="D15" s="7">
        <v>3348</v>
      </c>
      <c r="E15" t="s">
        <v>137</v>
      </c>
      <c r="F15" s="9"/>
    </row>
    <row r="16" spans="2:6">
      <c r="B16">
        <v>11</v>
      </c>
      <c r="C16" t="s">
        <v>56</v>
      </c>
      <c r="D16" s="7">
        <v>216.96</v>
      </c>
      <c r="E16" t="s">
        <v>57</v>
      </c>
      <c r="F16" s="9">
        <v>45361</v>
      </c>
    </row>
    <row r="17" spans="2:6">
      <c r="B17">
        <v>12</v>
      </c>
      <c r="C17" t="s">
        <v>35</v>
      </c>
      <c r="D17" s="7">
        <v>1112.52</v>
      </c>
      <c r="E17" t="s">
        <v>58</v>
      </c>
      <c r="F17" s="9">
        <v>45361</v>
      </c>
    </row>
    <row r="18" spans="2:6">
      <c r="B18">
        <v>13</v>
      </c>
      <c r="C18" t="s">
        <v>59</v>
      </c>
      <c r="D18" s="7">
        <v>280.58</v>
      </c>
      <c r="E18" t="s">
        <v>60</v>
      </c>
      <c r="F18" s="9">
        <v>45361</v>
      </c>
    </row>
    <row r="19" spans="2:6">
      <c r="B19">
        <v>14</v>
      </c>
      <c r="C19" t="s">
        <v>61</v>
      </c>
      <c r="D19" s="7">
        <v>155.97999999999999</v>
      </c>
      <c r="E19" t="s">
        <v>62</v>
      </c>
      <c r="F19" s="9">
        <v>45361</v>
      </c>
    </row>
    <row r="20" spans="2:6">
      <c r="B20">
        <v>15</v>
      </c>
      <c r="C20" t="s">
        <v>64</v>
      </c>
      <c r="D20" s="7">
        <v>250</v>
      </c>
      <c r="E20" t="s">
        <v>65</v>
      </c>
      <c r="F20" s="9">
        <v>45366</v>
      </c>
    </row>
    <row r="21" spans="2:6">
      <c r="B21">
        <v>16</v>
      </c>
      <c r="C21" t="s">
        <v>66</v>
      </c>
      <c r="D21" s="7">
        <v>2000</v>
      </c>
      <c r="E21" t="s">
        <v>67</v>
      </c>
      <c r="F21" s="9">
        <v>45366</v>
      </c>
    </row>
    <row r="22" spans="2:6">
      <c r="B22">
        <v>17</v>
      </c>
      <c r="C22" t="s">
        <v>68</v>
      </c>
      <c r="D22" s="7">
        <v>978</v>
      </c>
      <c r="E22" s="10" t="s">
        <v>69</v>
      </c>
      <c r="F22" s="9">
        <v>45374</v>
      </c>
    </row>
    <row r="23" spans="2:6">
      <c r="B23">
        <v>18</v>
      </c>
      <c r="C23" t="s">
        <v>2</v>
      </c>
      <c r="D23" s="7">
        <v>7500</v>
      </c>
      <c r="E23" t="s">
        <v>70</v>
      </c>
      <c r="F23" s="9">
        <v>45388</v>
      </c>
    </row>
    <row r="24" spans="2:6">
      <c r="B24">
        <v>19</v>
      </c>
      <c r="C24" t="s">
        <v>71</v>
      </c>
      <c r="D24" s="7">
        <v>18500</v>
      </c>
      <c r="E24" t="s">
        <v>70</v>
      </c>
      <c r="F24" s="9">
        <v>45388</v>
      </c>
    </row>
    <row r="25" spans="2:6">
      <c r="B25">
        <v>20</v>
      </c>
      <c r="C25" t="s">
        <v>72</v>
      </c>
      <c r="D25" s="7">
        <v>500</v>
      </c>
      <c r="E25" t="s">
        <v>73</v>
      </c>
      <c r="F25" s="9">
        <v>45386</v>
      </c>
    </row>
    <row r="26" spans="2:6">
      <c r="B26">
        <v>21</v>
      </c>
      <c r="C26" t="s">
        <v>74</v>
      </c>
      <c r="D26" s="7">
        <v>1620</v>
      </c>
      <c r="E26" t="s">
        <v>75</v>
      </c>
      <c r="F26" s="9">
        <v>45384</v>
      </c>
    </row>
    <row r="27" spans="2:6">
      <c r="B27">
        <v>22</v>
      </c>
      <c r="C27" t="s">
        <v>77</v>
      </c>
      <c r="D27" s="7">
        <v>1866</v>
      </c>
      <c r="E27" t="s">
        <v>78</v>
      </c>
      <c r="F27" s="9">
        <v>45389</v>
      </c>
    </row>
    <row r="28" spans="2:6">
      <c r="B28">
        <v>23</v>
      </c>
      <c r="C28" t="s">
        <v>79</v>
      </c>
      <c r="D28" s="7">
        <v>3741</v>
      </c>
      <c r="E28" t="s">
        <v>78</v>
      </c>
      <c r="F28" s="9">
        <v>45389</v>
      </c>
    </row>
    <row r="29" spans="2:6">
      <c r="B29">
        <v>24</v>
      </c>
      <c r="C29" t="s">
        <v>80</v>
      </c>
      <c r="D29" s="7">
        <v>49245</v>
      </c>
      <c r="F29" s="9">
        <v>45395</v>
      </c>
    </row>
    <row r="30" spans="2:6">
      <c r="B30">
        <v>25</v>
      </c>
      <c r="C30" t="s">
        <v>81</v>
      </c>
      <c r="D30" s="7">
        <v>290</v>
      </c>
      <c r="E30" t="s">
        <v>83</v>
      </c>
      <c r="F30" s="9">
        <v>45394</v>
      </c>
    </row>
    <row r="31" spans="2:6">
      <c r="B31">
        <v>26</v>
      </c>
      <c r="C31" t="s">
        <v>82</v>
      </c>
      <c r="D31" s="7">
        <v>234</v>
      </c>
      <c r="E31" t="s">
        <v>83</v>
      </c>
      <c r="F31" s="9">
        <v>45394</v>
      </c>
    </row>
    <row r="32" spans="2:6">
      <c r="B32">
        <v>27</v>
      </c>
      <c r="C32" t="s">
        <v>84</v>
      </c>
      <c r="D32" s="7">
        <v>178.75</v>
      </c>
      <c r="F32" s="9">
        <v>45394</v>
      </c>
    </row>
    <row r="33" spans="2:6">
      <c r="B33">
        <v>28</v>
      </c>
      <c r="C33" t="s">
        <v>84</v>
      </c>
      <c r="D33" s="7">
        <v>148</v>
      </c>
      <c r="F33" s="9">
        <v>45394</v>
      </c>
    </row>
    <row r="34" spans="2:6">
      <c r="B34">
        <v>29</v>
      </c>
      <c r="C34" t="s">
        <v>85</v>
      </c>
      <c r="D34" s="7">
        <v>415.91</v>
      </c>
      <c r="E34" t="s">
        <v>86</v>
      </c>
      <c r="F34" s="9">
        <v>45394</v>
      </c>
    </row>
    <row r="35" spans="2:6">
      <c r="B35">
        <v>30</v>
      </c>
      <c r="C35" t="s">
        <v>90</v>
      </c>
      <c r="D35" s="7">
        <v>680</v>
      </c>
      <c r="E35" t="s">
        <v>87</v>
      </c>
      <c r="F35" s="9">
        <v>45394</v>
      </c>
    </row>
    <row r="36" spans="2:6">
      <c r="B36">
        <v>31</v>
      </c>
      <c r="C36" t="s">
        <v>88</v>
      </c>
      <c r="D36" s="7">
        <v>2500</v>
      </c>
      <c r="E36" t="s">
        <v>89</v>
      </c>
      <c r="F36" s="9">
        <v>45395</v>
      </c>
    </row>
    <row r="37" spans="2:6">
      <c r="B37">
        <v>32</v>
      </c>
      <c r="C37" t="s">
        <v>91</v>
      </c>
      <c r="D37" s="7">
        <v>820</v>
      </c>
      <c r="E37" t="s">
        <v>92</v>
      </c>
      <c r="F37" s="9">
        <v>45397</v>
      </c>
    </row>
    <row r="38" spans="2:6">
      <c r="B38">
        <v>33</v>
      </c>
      <c r="C38" t="s">
        <v>93</v>
      </c>
      <c r="D38" s="7">
        <v>21380</v>
      </c>
      <c r="E38" t="s">
        <v>94</v>
      </c>
      <c r="F38" s="9">
        <v>45400</v>
      </c>
    </row>
    <row r="39" spans="2:6">
      <c r="B39">
        <v>34</v>
      </c>
      <c r="C39" t="s">
        <v>95</v>
      </c>
      <c r="D39" s="7">
        <v>3600</v>
      </c>
      <c r="F39" s="9">
        <v>45401</v>
      </c>
    </row>
    <row r="40" spans="2:6">
      <c r="B40">
        <v>35</v>
      </c>
      <c r="C40" t="s">
        <v>96</v>
      </c>
      <c r="D40" s="7">
        <v>675</v>
      </c>
      <c r="F40" s="9">
        <v>45402</v>
      </c>
    </row>
    <row r="41" spans="2:6">
      <c r="B41">
        <v>36</v>
      </c>
      <c r="C41" t="s">
        <v>98</v>
      </c>
      <c r="D41" s="7">
        <v>69505</v>
      </c>
      <c r="E41" t="s">
        <v>128</v>
      </c>
      <c r="F41" s="9">
        <v>45405</v>
      </c>
    </row>
    <row r="42" spans="2:6">
      <c r="B42">
        <v>37</v>
      </c>
      <c r="C42" t="s">
        <v>99</v>
      </c>
      <c r="D42" s="7">
        <v>4070</v>
      </c>
      <c r="E42" t="s">
        <v>127</v>
      </c>
      <c r="F42" s="9">
        <v>45405</v>
      </c>
    </row>
    <row r="43" spans="2:6">
      <c r="B43">
        <v>38</v>
      </c>
      <c r="C43" t="s">
        <v>101</v>
      </c>
      <c r="D43" s="7">
        <v>450</v>
      </c>
      <c r="E43" t="s">
        <v>127</v>
      </c>
      <c r="F43" s="9">
        <v>45405</v>
      </c>
    </row>
    <row r="44" spans="2:6">
      <c r="B44">
        <v>39</v>
      </c>
      <c r="C44" t="s">
        <v>100</v>
      </c>
      <c r="D44" s="7">
        <v>2501</v>
      </c>
      <c r="E44" t="s">
        <v>129</v>
      </c>
      <c r="F44" s="9">
        <v>45406</v>
      </c>
    </row>
    <row r="45" spans="2:6">
      <c r="B45">
        <v>40</v>
      </c>
      <c r="C45" t="s">
        <v>102</v>
      </c>
      <c r="D45" s="7">
        <v>1390</v>
      </c>
      <c r="E45" t="s">
        <v>107</v>
      </c>
      <c r="F45" s="9">
        <v>45412</v>
      </c>
    </row>
    <row r="46" spans="2:6">
      <c r="B46">
        <v>41</v>
      </c>
      <c r="C46" t="s">
        <v>103</v>
      </c>
      <c r="D46" s="7">
        <v>371</v>
      </c>
      <c r="E46" t="s">
        <v>107</v>
      </c>
      <c r="F46" s="9">
        <v>45412</v>
      </c>
    </row>
    <row r="47" spans="2:6">
      <c r="B47">
        <v>42</v>
      </c>
      <c r="C47" t="s">
        <v>104</v>
      </c>
      <c r="D47" s="7">
        <v>120</v>
      </c>
      <c r="E47" t="s">
        <v>87</v>
      </c>
      <c r="F47" s="9">
        <v>45412</v>
      </c>
    </row>
    <row r="48" spans="2:6">
      <c r="B48">
        <v>43</v>
      </c>
      <c r="C48" t="s">
        <v>105</v>
      </c>
      <c r="D48" s="7">
        <v>260</v>
      </c>
      <c r="E48" t="s">
        <v>106</v>
      </c>
      <c r="F48" s="9">
        <v>45412</v>
      </c>
    </row>
    <row r="49" spans="2:6">
      <c r="B49">
        <v>44</v>
      </c>
      <c r="C49" t="s">
        <v>108</v>
      </c>
      <c r="D49" s="7">
        <v>273</v>
      </c>
      <c r="E49" t="s">
        <v>115</v>
      </c>
      <c r="F49" s="9">
        <v>45412</v>
      </c>
    </row>
    <row r="50" spans="2:6">
      <c r="B50">
        <v>45</v>
      </c>
      <c r="C50" t="s">
        <v>109</v>
      </c>
      <c r="D50" s="7">
        <v>959.9</v>
      </c>
      <c r="E50" t="s">
        <v>114</v>
      </c>
      <c r="F50" s="9">
        <v>45414</v>
      </c>
    </row>
    <row r="51" spans="2:6">
      <c r="B51">
        <v>47</v>
      </c>
      <c r="C51" t="s">
        <v>112</v>
      </c>
      <c r="D51" s="7">
        <v>1059</v>
      </c>
      <c r="E51" t="s">
        <v>113</v>
      </c>
      <c r="F51" s="9">
        <v>45414</v>
      </c>
    </row>
    <row r="52" spans="2:6">
      <c r="B52">
        <v>48</v>
      </c>
      <c r="C52" t="s">
        <v>110</v>
      </c>
      <c r="D52" s="7">
        <v>399.9</v>
      </c>
      <c r="E52" t="s">
        <v>111</v>
      </c>
      <c r="F52" s="9">
        <v>45414</v>
      </c>
    </row>
    <row r="53" spans="2:6">
      <c r="B53">
        <v>49</v>
      </c>
      <c r="C53" t="s">
        <v>80</v>
      </c>
      <c r="D53" s="7">
        <v>61740</v>
      </c>
      <c r="E53" t="s">
        <v>116</v>
      </c>
      <c r="F53" s="9">
        <v>45418</v>
      </c>
    </row>
    <row r="54" spans="2:6">
      <c r="B54">
        <v>50</v>
      </c>
      <c r="C54" t="s">
        <v>117</v>
      </c>
      <c r="D54" s="7">
        <v>13230</v>
      </c>
      <c r="E54" t="s">
        <v>118</v>
      </c>
      <c r="F54" s="9">
        <v>45418</v>
      </c>
    </row>
    <row r="55" spans="2:6">
      <c r="B55">
        <v>51</v>
      </c>
      <c r="C55" t="s">
        <v>88</v>
      </c>
      <c r="D55" s="7">
        <v>2500</v>
      </c>
      <c r="E55" t="s">
        <v>119</v>
      </c>
      <c r="F55" s="9">
        <v>45418</v>
      </c>
    </row>
    <row r="56" spans="2:6">
      <c r="B56">
        <v>52</v>
      </c>
      <c r="C56" t="s">
        <v>120</v>
      </c>
      <c r="D56" s="7">
        <v>500</v>
      </c>
      <c r="E56" t="s">
        <v>138</v>
      </c>
      <c r="F56" s="9">
        <v>45418</v>
      </c>
    </row>
    <row r="57" spans="2:6">
      <c r="B57">
        <v>53</v>
      </c>
      <c r="C57" t="s">
        <v>121</v>
      </c>
      <c r="D57" s="7">
        <v>9030</v>
      </c>
      <c r="E57" t="s">
        <v>122</v>
      </c>
      <c r="F57" s="9">
        <v>45420</v>
      </c>
    </row>
    <row r="58" spans="2:6">
      <c r="B58">
        <v>54</v>
      </c>
      <c r="C58" t="s">
        <v>123</v>
      </c>
      <c r="D58" s="7">
        <v>316.39</v>
      </c>
      <c r="E58" t="s">
        <v>124</v>
      </c>
      <c r="F58" s="9">
        <v>45420</v>
      </c>
    </row>
    <row r="59" spans="2:6">
      <c r="B59">
        <v>55</v>
      </c>
      <c r="C59" t="s">
        <v>125</v>
      </c>
      <c r="D59" s="7">
        <v>196</v>
      </c>
      <c r="E59" t="s">
        <v>126</v>
      </c>
      <c r="F59" s="9">
        <v>45420</v>
      </c>
    </row>
    <row r="60" spans="2:6">
      <c r="B60">
        <v>56</v>
      </c>
      <c r="C60" t="s">
        <v>130</v>
      </c>
      <c r="D60" s="7">
        <v>23617.5</v>
      </c>
      <c r="E60" t="s">
        <v>131</v>
      </c>
      <c r="F60" s="9">
        <v>45423</v>
      </c>
    </row>
    <row r="61" spans="2:6">
      <c r="B61">
        <v>57</v>
      </c>
      <c r="C61" t="s">
        <v>132</v>
      </c>
      <c r="D61" s="7">
        <v>729</v>
      </c>
      <c r="E61" t="s">
        <v>134</v>
      </c>
      <c r="F61" s="9">
        <v>45423</v>
      </c>
    </row>
    <row r="62" spans="2:6">
      <c r="B62">
        <v>58</v>
      </c>
      <c r="C62" t="s">
        <v>133</v>
      </c>
      <c r="D62" s="7">
        <v>567</v>
      </c>
      <c r="E62" t="s">
        <v>135</v>
      </c>
      <c r="F62" s="9">
        <v>45423</v>
      </c>
    </row>
    <row r="63" spans="2:6">
      <c r="B63">
        <v>59</v>
      </c>
      <c r="C63" t="s">
        <v>88</v>
      </c>
      <c r="D63" s="7">
        <v>2500</v>
      </c>
      <c r="E63" t="s">
        <v>119</v>
      </c>
      <c r="F63" s="9">
        <v>45423</v>
      </c>
    </row>
    <row r="64" spans="2:6">
      <c r="B64">
        <v>60</v>
      </c>
      <c r="C64" t="s">
        <v>150</v>
      </c>
      <c r="D64" s="7">
        <v>3940</v>
      </c>
      <c r="E64" t="s">
        <v>151</v>
      </c>
      <c r="F64" s="9">
        <v>45428</v>
      </c>
    </row>
    <row r="65" spans="2:6">
      <c r="B65">
        <v>61</v>
      </c>
      <c r="C65" t="s">
        <v>152</v>
      </c>
      <c r="D65" s="7">
        <v>5600</v>
      </c>
      <c r="E65" t="s">
        <v>126</v>
      </c>
      <c r="F65" s="9">
        <v>45435</v>
      </c>
    </row>
    <row r="66" spans="2:6">
      <c r="B66">
        <v>62</v>
      </c>
      <c r="C66" t="s">
        <v>153</v>
      </c>
      <c r="D66" s="7">
        <v>328</v>
      </c>
      <c r="E66" t="s">
        <v>126</v>
      </c>
      <c r="F66" s="9">
        <v>45435</v>
      </c>
    </row>
    <row r="67" spans="2:6">
      <c r="B67">
        <v>63</v>
      </c>
      <c r="C67" t="s">
        <v>154</v>
      </c>
      <c r="D67" s="7">
        <v>480</v>
      </c>
      <c r="E67" t="s">
        <v>126</v>
      </c>
      <c r="F67" s="9">
        <v>45435</v>
      </c>
    </row>
    <row r="68" spans="2:6">
      <c r="B68">
        <v>64</v>
      </c>
      <c r="C68" t="s">
        <v>155</v>
      </c>
      <c r="D68" s="7">
        <v>225</v>
      </c>
      <c r="E68" t="s">
        <v>126</v>
      </c>
      <c r="F68" s="9">
        <v>45435</v>
      </c>
    </row>
    <row r="69" spans="2:6">
      <c r="B69">
        <v>65</v>
      </c>
      <c r="C69" t="s">
        <v>156</v>
      </c>
      <c r="D69" s="7">
        <v>157</v>
      </c>
      <c r="E69" t="s">
        <v>126</v>
      </c>
      <c r="F69" s="9">
        <v>45435</v>
      </c>
    </row>
    <row r="70" spans="2:6">
      <c r="B70">
        <v>66</v>
      </c>
      <c r="C70" t="s">
        <v>157</v>
      </c>
      <c r="D70" s="7"/>
      <c r="E70" t="s">
        <v>92</v>
      </c>
      <c r="F70" s="9"/>
    </row>
    <row r="71" spans="2:6">
      <c r="B71">
        <v>67</v>
      </c>
      <c r="C71" t="s">
        <v>158</v>
      </c>
      <c r="D71" s="7">
        <v>892</v>
      </c>
      <c r="E71" t="s">
        <v>159</v>
      </c>
      <c r="F71" s="9">
        <v>45439</v>
      </c>
    </row>
    <row r="72" spans="2:6">
      <c r="B72">
        <v>68</v>
      </c>
      <c r="C72" t="s">
        <v>158</v>
      </c>
      <c r="D72" s="7">
        <v>531</v>
      </c>
      <c r="E72" t="s">
        <v>159</v>
      </c>
      <c r="F72" s="9">
        <v>45438</v>
      </c>
    </row>
    <row r="73" spans="2:6">
      <c r="B73">
        <v>69</v>
      </c>
      <c r="C73" t="s">
        <v>160</v>
      </c>
      <c r="D73" s="7">
        <v>43.8</v>
      </c>
      <c r="E73" t="s">
        <v>159</v>
      </c>
      <c r="F73" s="9">
        <v>45444</v>
      </c>
    </row>
    <row r="74" spans="2:6">
      <c r="B74">
        <v>70</v>
      </c>
      <c r="C74" t="s">
        <v>161</v>
      </c>
      <c r="D74" s="7">
        <v>279</v>
      </c>
      <c r="E74" t="s">
        <v>159</v>
      </c>
      <c r="F74" s="9">
        <v>45444</v>
      </c>
    </row>
    <row r="75" spans="2:6">
      <c r="B75">
        <v>71</v>
      </c>
      <c r="C75" t="s">
        <v>162</v>
      </c>
      <c r="D75" s="7">
        <v>266.52</v>
      </c>
      <c r="E75" t="s">
        <v>159</v>
      </c>
      <c r="F75" s="9">
        <v>45444</v>
      </c>
    </row>
    <row r="76" spans="2:6">
      <c r="B76">
        <v>72</v>
      </c>
      <c r="C76" t="s">
        <v>163</v>
      </c>
      <c r="D76" s="7">
        <v>21.53</v>
      </c>
      <c r="E76" t="s">
        <v>159</v>
      </c>
      <c r="F76" s="9">
        <v>45444</v>
      </c>
    </row>
    <row r="77" spans="2:6">
      <c r="B77">
        <v>73</v>
      </c>
      <c r="C77" t="s">
        <v>164</v>
      </c>
      <c r="D77" s="7">
        <v>20419</v>
      </c>
      <c r="E77" t="s">
        <v>159</v>
      </c>
      <c r="F77" s="9">
        <v>45445</v>
      </c>
    </row>
    <row r="78" spans="2:6">
      <c r="B78">
        <v>74</v>
      </c>
      <c r="C78" t="s">
        <v>165</v>
      </c>
      <c r="D78" s="7">
        <v>259</v>
      </c>
      <c r="E78" t="s">
        <v>168</v>
      </c>
      <c r="F78" s="9">
        <v>45451</v>
      </c>
    </row>
    <row r="79" spans="2:6">
      <c r="B79">
        <v>75</v>
      </c>
      <c r="C79" t="s">
        <v>166</v>
      </c>
      <c r="D79" s="7">
        <v>103</v>
      </c>
      <c r="E79" t="s">
        <v>169</v>
      </c>
      <c r="F79" s="9">
        <v>45451</v>
      </c>
    </row>
    <row r="80" spans="2:6">
      <c r="B80">
        <v>76</v>
      </c>
      <c r="C80" t="s">
        <v>167</v>
      </c>
      <c r="D80" s="7">
        <v>132</v>
      </c>
      <c r="E80" t="s">
        <v>169</v>
      </c>
      <c r="F80" s="9">
        <v>45451</v>
      </c>
    </row>
    <row r="81" spans="2:6">
      <c r="B81">
        <v>77</v>
      </c>
      <c r="C81" t="s">
        <v>170</v>
      </c>
      <c r="D81" s="7">
        <v>2363</v>
      </c>
      <c r="E81" t="s">
        <v>171</v>
      </c>
      <c r="F81" s="9">
        <v>45452</v>
      </c>
    </row>
    <row r="82" spans="2:6">
      <c r="B82">
        <v>78</v>
      </c>
      <c r="C82" t="s">
        <v>172</v>
      </c>
      <c r="D82" s="7">
        <v>61.66</v>
      </c>
      <c r="E82" t="s">
        <v>173</v>
      </c>
      <c r="F82" s="9">
        <v>45459</v>
      </c>
    </row>
    <row r="83" spans="2:6">
      <c r="B83">
        <v>79</v>
      </c>
      <c r="C83" t="s">
        <v>174</v>
      </c>
      <c r="D83" s="7">
        <v>48.35</v>
      </c>
      <c r="E83" t="s">
        <v>173</v>
      </c>
      <c r="F83" s="9">
        <v>45459</v>
      </c>
    </row>
    <row r="84" spans="2:6">
      <c r="B84">
        <v>80</v>
      </c>
      <c r="C84" t="s">
        <v>175</v>
      </c>
      <c r="D84" s="7">
        <v>279.57</v>
      </c>
      <c r="E84" t="s">
        <v>176</v>
      </c>
      <c r="F84" s="9">
        <v>45459</v>
      </c>
    </row>
    <row r="85" spans="2:6">
      <c r="B85">
        <v>81</v>
      </c>
      <c r="C85" t="s">
        <v>177</v>
      </c>
      <c r="D85" s="7">
        <v>54.66</v>
      </c>
      <c r="E85" t="s">
        <v>173</v>
      </c>
      <c r="F85" s="9">
        <v>45459</v>
      </c>
    </row>
    <row r="86" spans="2:6">
      <c r="B86">
        <v>82</v>
      </c>
      <c r="C86" t="s">
        <v>178</v>
      </c>
      <c r="D86" s="7">
        <v>144.34</v>
      </c>
      <c r="E86" t="s">
        <v>180</v>
      </c>
      <c r="F86" s="9">
        <v>45459</v>
      </c>
    </row>
    <row r="87" spans="2:6">
      <c r="B87">
        <v>83</v>
      </c>
      <c r="C87" t="s">
        <v>179</v>
      </c>
      <c r="D87" s="7">
        <v>332.12</v>
      </c>
      <c r="E87" t="s">
        <v>181</v>
      </c>
      <c r="F87" s="9">
        <v>45459</v>
      </c>
    </row>
    <row r="88" spans="2:6">
      <c r="B88">
        <v>84</v>
      </c>
      <c r="C88" t="s">
        <v>182</v>
      </c>
      <c r="D88" s="7">
        <v>3977</v>
      </c>
      <c r="E88" t="s">
        <v>173</v>
      </c>
      <c r="F88" s="9">
        <v>45464</v>
      </c>
    </row>
    <row r="89" spans="2:6">
      <c r="B89">
        <v>85</v>
      </c>
      <c r="C89" t="s">
        <v>183</v>
      </c>
      <c r="D89" s="7">
        <v>800</v>
      </c>
      <c r="E89" t="s">
        <v>173</v>
      </c>
      <c r="F89" s="9">
        <v>45464</v>
      </c>
    </row>
    <row r="90" spans="2:6">
      <c r="B90">
        <v>86</v>
      </c>
      <c r="C90" t="s">
        <v>184</v>
      </c>
      <c r="D90" s="7">
        <v>165.9</v>
      </c>
      <c r="E90" t="s">
        <v>173</v>
      </c>
      <c r="F90" s="9">
        <v>45462</v>
      </c>
    </row>
    <row r="91" spans="2:6">
      <c r="B91">
        <v>87</v>
      </c>
      <c r="C91" t="s">
        <v>185</v>
      </c>
      <c r="D91" s="7">
        <v>139.35</v>
      </c>
      <c r="E91" t="s">
        <v>173</v>
      </c>
      <c r="F91" s="9">
        <v>45462</v>
      </c>
    </row>
    <row r="92" spans="2:6">
      <c r="B92">
        <v>88</v>
      </c>
      <c r="C92" t="s">
        <v>186</v>
      </c>
      <c r="D92" s="7">
        <v>251.38</v>
      </c>
      <c r="E92" t="s">
        <v>173</v>
      </c>
      <c r="F92" s="9">
        <v>45462</v>
      </c>
    </row>
    <row r="93" spans="2:6">
      <c r="B93">
        <v>89</v>
      </c>
      <c r="C93" t="s">
        <v>187</v>
      </c>
      <c r="D93" s="7">
        <v>55.32</v>
      </c>
      <c r="E93" t="s">
        <v>173</v>
      </c>
      <c r="F93" s="9">
        <v>45462</v>
      </c>
    </row>
    <row r="94" spans="2:6">
      <c r="B94">
        <v>90</v>
      </c>
      <c r="C94" t="s">
        <v>188</v>
      </c>
      <c r="D94" s="7">
        <v>24000</v>
      </c>
      <c r="E94" t="s">
        <v>189</v>
      </c>
      <c r="F94" s="9">
        <v>45462</v>
      </c>
    </row>
    <row r="95" spans="2:6">
      <c r="B95">
        <v>91</v>
      </c>
      <c r="C95" t="s">
        <v>190</v>
      </c>
      <c r="D95" s="7">
        <v>22.45</v>
      </c>
      <c r="E95" t="s">
        <v>173</v>
      </c>
      <c r="F95" s="9">
        <v>45467</v>
      </c>
    </row>
    <row r="96" spans="2:6">
      <c r="B96">
        <v>92</v>
      </c>
      <c r="C96" t="s">
        <v>191</v>
      </c>
      <c r="D96" s="7">
        <v>34.369999999999997</v>
      </c>
      <c r="E96" t="s">
        <v>173</v>
      </c>
      <c r="F96" s="9">
        <v>45467</v>
      </c>
    </row>
    <row r="97" spans="2:6">
      <c r="B97">
        <v>93</v>
      </c>
      <c r="C97" t="s">
        <v>192</v>
      </c>
      <c r="D97" s="7">
        <v>55.41</v>
      </c>
      <c r="E97" t="s">
        <v>173</v>
      </c>
      <c r="F97" s="9">
        <v>45467</v>
      </c>
    </row>
    <row r="98" spans="2:6">
      <c r="B98">
        <v>94</v>
      </c>
      <c r="C98" t="s">
        <v>183</v>
      </c>
      <c r="D98" s="7">
        <v>1000</v>
      </c>
      <c r="E98" t="s">
        <v>193</v>
      </c>
      <c r="F98" s="9">
        <v>45469</v>
      </c>
    </row>
    <row r="99" spans="2:6">
      <c r="B99">
        <v>95</v>
      </c>
      <c r="C99" t="s">
        <v>194</v>
      </c>
      <c r="D99" s="7">
        <v>3977</v>
      </c>
      <c r="E99" t="s">
        <v>173</v>
      </c>
      <c r="F99" s="9">
        <v>45464</v>
      </c>
    </row>
    <row r="100" spans="2:6">
      <c r="B100">
        <v>96</v>
      </c>
      <c r="C100" t="s">
        <v>195</v>
      </c>
      <c r="D100" s="7">
        <v>252000</v>
      </c>
      <c r="E100" t="s">
        <v>196</v>
      </c>
      <c r="F100" s="9">
        <v>45469</v>
      </c>
    </row>
    <row r="101" spans="2:6">
      <c r="B101">
        <v>97</v>
      </c>
      <c r="C101" t="s">
        <v>197</v>
      </c>
      <c r="D101" s="7">
        <v>5000</v>
      </c>
      <c r="E101" t="s">
        <v>198</v>
      </c>
      <c r="F101" s="9">
        <v>45469</v>
      </c>
    </row>
    <row r="102" spans="2:6">
      <c r="B102">
        <v>98</v>
      </c>
      <c r="C102" s="15" t="s">
        <v>199</v>
      </c>
      <c r="D102" s="7">
        <v>10178</v>
      </c>
      <c r="E102" s="13" t="s">
        <v>126</v>
      </c>
      <c r="F102" s="9">
        <v>45476</v>
      </c>
    </row>
    <row r="103" spans="2:6">
      <c r="B103">
        <v>99</v>
      </c>
      <c r="C103" s="15" t="s">
        <v>200</v>
      </c>
      <c r="D103" s="7">
        <v>2844</v>
      </c>
      <c r="E103" s="13" t="s">
        <v>126</v>
      </c>
      <c r="F103" s="9">
        <v>45476</v>
      </c>
    </row>
    <row r="104" spans="2:6">
      <c r="B104">
        <v>100</v>
      </c>
      <c r="C104" s="16" t="s">
        <v>201</v>
      </c>
      <c r="D104" s="7">
        <v>2413</v>
      </c>
      <c r="E104" s="13" t="s">
        <v>126</v>
      </c>
      <c r="F104" s="9">
        <v>45476</v>
      </c>
    </row>
    <row r="105" spans="2:6">
      <c r="B105">
        <v>101</v>
      </c>
      <c r="C105" s="16" t="s">
        <v>202</v>
      </c>
      <c r="D105" s="7">
        <v>1252</v>
      </c>
      <c r="E105" s="13" t="s">
        <v>126</v>
      </c>
      <c r="F105" s="9">
        <v>45476</v>
      </c>
    </row>
    <row r="106" spans="2:6">
      <c r="B106">
        <v>102</v>
      </c>
      <c r="C106" s="15" t="s">
        <v>203</v>
      </c>
      <c r="D106" s="7">
        <v>1104</v>
      </c>
      <c r="E106" s="13" t="s">
        <v>126</v>
      </c>
      <c r="F106" s="9">
        <v>45476</v>
      </c>
    </row>
    <row r="107" spans="2:6">
      <c r="B107">
        <v>103</v>
      </c>
      <c r="C107" s="15" t="s">
        <v>204</v>
      </c>
      <c r="D107" s="7">
        <v>504</v>
      </c>
      <c r="E107" s="13" t="s">
        <v>126</v>
      </c>
      <c r="F107" s="9">
        <v>45476</v>
      </c>
    </row>
    <row r="108" spans="2:6">
      <c r="B108">
        <v>104</v>
      </c>
      <c r="C108" s="15" t="s">
        <v>205</v>
      </c>
      <c r="D108" s="7">
        <v>308</v>
      </c>
      <c r="E108" s="13" t="s">
        <v>126</v>
      </c>
      <c r="F108" s="9">
        <v>45476</v>
      </c>
    </row>
    <row r="109" spans="2:6">
      <c r="B109">
        <v>105</v>
      </c>
      <c r="C109" s="15" t="s">
        <v>206</v>
      </c>
      <c r="D109" s="7">
        <v>308</v>
      </c>
      <c r="E109" t="s">
        <v>210</v>
      </c>
      <c r="F109" s="9">
        <v>45476</v>
      </c>
    </row>
    <row r="110" spans="2:6">
      <c r="B110">
        <v>106</v>
      </c>
      <c r="C110" s="15" t="s">
        <v>207</v>
      </c>
      <c r="D110" s="7">
        <v>210</v>
      </c>
      <c r="E110" s="13" t="s">
        <v>126</v>
      </c>
      <c r="F110" s="9">
        <v>45476</v>
      </c>
    </row>
    <row r="111" spans="2:6">
      <c r="B111">
        <v>107</v>
      </c>
      <c r="C111" s="15" t="s">
        <v>208</v>
      </c>
      <c r="D111" s="7">
        <v>170</v>
      </c>
      <c r="E111" s="13" t="s">
        <v>126</v>
      </c>
      <c r="F111" s="9">
        <v>45476</v>
      </c>
    </row>
    <row r="112" spans="2:6">
      <c r="B112">
        <v>108</v>
      </c>
      <c r="C112" s="16" t="s">
        <v>209</v>
      </c>
      <c r="D112" s="7">
        <v>455</v>
      </c>
      <c r="E112" s="13" t="s">
        <v>126</v>
      </c>
      <c r="F112" s="9">
        <v>45476</v>
      </c>
    </row>
    <row r="113" spans="2:6">
      <c r="B113">
        <v>109</v>
      </c>
      <c r="C113" s="14" t="s">
        <v>212</v>
      </c>
      <c r="D113" s="7">
        <v>3875</v>
      </c>
      <c r="E113" t="s">
        <v>211</v>
      </c>
      <c r="F113" s="9">
        <v>45477</v>
      </c>
    </row>
    <row r="114" spans="2:6">
      <c r="B114">
        <v>110</v>
      </c>
      <c r="C114" t="s">
        <v>213</v>
      </c>
      <c r="D114" s="7">
        <v>800</v>
      </c>
      <c r="E114" t="s">
        <v>211</v>
      </c>
      <c r="F114" s="9">
        <v>45477</v>
      </c>
    </row>
    <row r="115" spans="2:6">
      <c r="B115">
        <v>111</v>
      </c>
      <c r="C115" s="15" t="s">
        <v>214</v>
      </c>
      <c r="D115" s="7">
        <v>2181</v>
      </c>
      <c r="E115" s="13" t="s">
        <v>126</v>
      </c>
      <c r="F115" s="9">
        <v>45480</v>
      </c>
    </row>
    <row r="116" spans="2:6">
      <c r="B116">
        <v>112</v>
      </c>
      <c r="C116" s="15" t="s">
        <v>206</v>
      </c>
      <c r="D116" s="7">
        <v>308</v>
      </c>
      <c r="E116" t="s">
        <v>210</v>
      </c>
      <c r="F116" s="9">
        <v>45480</v>
      </c>
    </row>
    <row r="117" spans="2:6">
      <c r="B117">
        <v>113</v>
      </c>
      <c r="C117" t="s">
        <v>215</v>
      </c>
      <c r="D117" s="7">
        <v>135</v>
      </c>
      <c r="E117" s="13" t="s">
        <v>126</v>
      </c>
      <c r="F117" s="9">
        <v>45480</v>
      </c>
    </row>
    <row r="118" spans="2:6">
      <c r="B118">
        <v>114</v>
      </c>
      <c r="C118" t="s">
        <v>216</v>
      </c>
      <c r="D118" s="7">
        <v>55</v>
      </c>
      <c r="E118" s="13" t="s">
        <v>126</v>
      </c>
      <c r="F118" s="9">
        <v>45480</v>
      </c>
    </row>
    <row r="119" spans="2:6">
      <c r="B119">
        <v>115</v>
      </c>
      <c r="C119" t="s">
        <v>217</v>
      </c>
      <c r="D119" s="7">
        <v>50</v>
      </c>
      <c r="E119" s="13" t="s">
        <v>126</v>
      </c>
      <c r="F119" s="9">
        <v>45480</v>
      </c>
    </row>
    <row r="120" spans="2:6">
      <c r="B120">
        <v>116</v>
      </c>
      <c r="C120" t="s">
        <v>218</v>
      </c>
      <c r="D120" s="7">
        <v>92000</v>
      </c>
      <c r="E120" t="s">
        <v>219</v>
      </c>
      <c r="F120" s="9">
        <v>45499</v>
      </c>
    </row>
    <row r="121" spans="2:6">
      <c r="B121">
        <v>117</v>
      </c>
      <c r="C121" s="1" t="s">
        <v>223</v>
      </c>
      <c r="D121" s="7">
        <v>12211</v>
      </c>
      <c r="E121" s="13" t="s">
        <v>126</v>
      </c>
      <c r="F121" s="9">
        <v>45496</v>
      </c>
    </row>
    <row r="122" spans="2:6">
      <c r="B122">
        <v>118</v>
      </c>
      <c r="C122" t="s">
        <v>220</v>
      </c>
      <c r="D122" s="7">
        <v>4042</v>
      </c>
      <c r="E122" s="13" t="s">
        <v>126</v>
      </c>
      <c r="F122" s="9">
        <v>45496</v>
      </c>
    </row>
    <row r="123" spans="2:6">
      <c r="B123">
        <v>119</v>
      </c>
      <c r="C123" t="s">
        <v>222</v>
      </c>
      <c r="D123" s="7">
        <v>8400</v>
      </c>
      <c r="E123" s="13" t="s">
        <v>126</v>
      </c>
      <c r="F123" s="9">
        <v>45496</v>
      </c>
    </row>
    <row r="124" spans="2:6">
      <c r="B124">
        <v>120</v>
      </c>
      <c r="C124" s="1" t="s">
        <v>221</v>
      </c>
      <c r="D124" s="7">
        <v>1090</v>
      </c>
      <c r="E124" s="13" t="s">
        <v>126</v>
      </c>
      <c r="F124" s="9">
        <v>45496</v>
      </c>
    </row>
    <row r="125" spans="2:6">
      <c r="B125">
        <v>121</v>
      </c>
      <c r="C125" s="1" t="s">
        <v>224</v>
      </c>
      <c r="D125" s="7">
        <v>8388</v>
      </c>
      <c r="E125" s="13" t="s">
        <v>126</v>
      </c>
      <c r="F125" s="9">
        <v>45496</v>
      </c>
    </row>
    <row r="126" spans="2:6">
      <c r="B126">
        <v>122</v>
      </c>
      <c r="C126" t="s">
        <v>225</v>
      </c>
      <c r="D126" s="7">
        <v>288</v>
      </c>
      <c r="E126" s="13" t="s">
        <v>126</v>
      </c>
      <c r="F126" s="9">
        <v>45506</v>
      </c>
    </row>
    <row r="127" spans="2:6">
      <c r="B127">
        <v>123</v>
      </c>
      <c r="C127" t="s">
        <v>226</v>
      </c>
      <c r="D127" s="7">
        <v>352</v>
      </c>
      <c r="E127" s="13" t="s">
        <v>126</v>
      </c>
      <c r="F127" s="9">
        <v>45506</v>
      </c>
    </row>
    <row r="128" spans="2:6">
      <c r="B128">
        <v>124</v>
      </c>
      <c r="C128" t="s">
        <v>227</v>
      </c>
      <c r="D128" s="7">
        <v>1541</v>
      </c>
      <c r="E128" s="13" t="s">
        <v>126</v>
      </c>
      <c r="F128" s="9">
        <v>45506</v>
      </c>
    </row>
    <row r="129" spans="2:6">
      <c r="B129">
        <v>125</v>
      </c>
      <c r="C129" t="s">
        <v>228</v>
      </c>
      <c r="D129" s="7">
        <v>318</v>
      </c>
      <c r="E129" s="13" t="s">
        <v>126</v>
      </c>
      <c r="F129" s="9">
        <v>45506</v>
      </c>
    </row>
    <row r="130" spans="2:6">
      <c r="B130">
        <v>126</v>
      </c>
      <c r="C130" t="s">
        <v>229</v>
      </c>
      <c r="D130" s="7">
        <v>15000</v>
      </c>
      <c r="E130" t="s">
        <v>230</v>
      </c>
      <c r="F130" s="9">
        <v>45509</v>
      </c>
    </row>
    <row r="131" spans="2:6">
      <c r="B131">
        <v>127</v>
      </c>
      <c r="C131" t="s">
        <v>231</v>
      </c>
      <c r="D131" s="7">
        <v>2300</v>
      </c>
      <c r="E131" t="s">
        <v>232</v>
      </c>
      <c r="F131" s="9">
        <v>45518</v>
      </c>
    </row>
    <row r="132" spans="2:6">
      <c r="B132">
        <v>128</v>
      </c>
      <c r="C132" s="1" t="s">
        <v>233</v>
      </c>
      <c r="D132" s="17">
        <v>5256.2</v>
      </c>
      <c r="E132" t="s">
        <v>234</v>
      </c>
      <c r="F132" s="9">
        <v>45524</v>
      </c>
    </row>
    <row r="133" spans="2:6">
      <c r="B133">
        <v>129</v>
      </c>
      <c r="C133" s="1" t="s">
        <v>235</v>
      </c>
      <c r="D133" s="7">
        <v>5957.68</v>
      </c>
      <c r="E133" t="s">
        <v>236</v>
      </c>
      <c r="F133" s="9">
        <v>45524</v>
      </c>
    </row>
    <row r="134" spans="2:6">
      <c r="B134">
        <v>130</v>
      </c>
      <c r="C134" s="1" t="s">
        <v>237</v>
      </c>
      <c r="D134" s="7">
        <v>1778.56</v>
      </c>
      <c r="E134" t="s">
        <v>238</v>
      </c>
      <c r="F134" s="9">
        <v>45524</v>
      </c>
    </row>
    <row r="135" spans="2:6">
      <c r="B135">
        <v>131</v>
      </c>
      <c r="C135" s="1" t="s">
        <v>239</v>
      </c>
      <c r="D135" s="7">
        <v>68.56</v>
      </c>
      <c r="E135" t="s">
        <v>159</v>
      </c>
      <c r="F135" s="9">
        <v>45524</v>
      </c>
    </row>
    <row r="136" spans="2:6">
      <c r="B136">
        <v>132</v>
      </c>
      <c r="C136" t="s">
        <v>240</v>
      </c>
      <c r="D136" s="7">
        <v>590</v>
      </c>
      <c r="E136" t="s">
        <v>159</v>
      </c>
      <c r="F136" s="9">
        <v>45524</v>
      </c>
    </row>
    <row r="137" spans="2:6">
      <c r="B137">
        <v>133</v>
      </c>
      <c r="C137" t="s">
        <v>241</v>
      </c>
      <c r="D137" s="7">
        <v>445</v>
      </c>
      <c r="E137" t="s">
        <v>159</v>
      </c>
      <c r="F137" s="9">
        <v>45529</v>
      </c>
    </row>
    <row r="138" spans="2:6">
      <c r="B138">
        <v>134</v>
      </c>
      <c r="C138" t="s">
        <v>242</v>
      </c>
      <c r="D138" s="7">
        <v>259</v>
      </c>
      <c r="E138" t="s">
        <v>159</v>
      </c>
      <c r="F138" s="9">
        <v>45529</v>
      </c>
    </row>
    <row r="139" spans="2:6">
      <c r="B139">
        <v>135</v>
      </c>
      <c r="C139" t="s">
        <v>243</v>
      </c>
      <c r="D139" s="7">
        <v>159</v>
      </c>
      <c r="E139" t="s">
        <v>159</v>
      </c>
      <c r="F139" s="9">
        <v>45529</v>
      </c>
    </row>
    <row r="140" spans="2:6">
      <c r="B140">
        <v>136</v>
      </c>
      <c r="C140" t="s">
        <v>244</v>
      </c>
      <c r="D140" s="7">
        <v>100</v>
      </c>
      <c r="E140" t="s">
        <v>159</v>
      </c>
      <c r="F140" s="9">
        <v>45529</v>
      </c>
    </row>
    <row r="141" spans="2:6">
      <c r="B141">
        <v>137</v>
      </c>
      <c r="C141" t="s">
        <v>245</v>
      </c>
      <c r="D141" s="7">
        <v>5580</v>
      </c>
      <c r="E141" t="s">
        <v>159</v>
      </c>
      <c r="F141" s="9">
        <v>45546</v>
      </c>
    </row>
    <row r="142" spans="2:6">
      <c r="B142">
        <v>138</v>
      </c>
      <c r="C142" t="s">
        <v>246</v>
      </c>
      <c r="D142" s="7">
        <v>2110</v>
      </c>
      <c r="E142" t="s">
        <v>159</v>
      </c>
      <c r="F142" s="9">
        <v>45556</v>
      </c>
    </row>
    <row r="143" spans="2:6">
      <c r="B143">
        <v>139</v>
      </c>
      <c r="C143" t="s">
        <v>247</v>
      </c>
      <c r="D143" s="7">
        <v>54000</v>
      </c>
      <c r="E143" t="s">
        <v>248</v>
      </c>
      <c r="F143" s="9">
        <v>45556</v>
      </c>
    </row>
    <row r="144" spans="2:6">
      <c r="B144">
        <v>140</v>
      </c>
      <c r="C144" t="s">
        <v>249</v>
      </c>
      <c r="D144" s="7">
        <v>15000</v>
      </c>
      <c r="E144" t="s">
        <v>251</v>
      </c>
      <c r="F144" s="9">
        <v>45563</v>
      </c>
    </row>
    <row r="145" spans="2:6">
      <c r="B145">
        <v>141</v>
      </c>
      <c r="C145" t="s">
        <v>252</v>
      </c>
      <c r="D145" s="7">
        <v>1900</v>
      </c>
      <c r="E145" t="s">
        <v>250</v>
      </c>
      <c r="F145" s="9">
        <v>45563</v>
      </c>
    </row>
    <row r="146" spans="2:6">
      <c r="B146">
        <v>142</v>
      </c>
      <c r="C146" t="s">
        <v>247</v>
      </c>
      <c r="D146" s="7">
        <v>54000</v>
      </c>
      <c r="E146" t="s">
        <v>248</v>
      </c>
      <c r="F146" s="9">
        <v>45566</v>
      </c>
    </row>
    <row r="147" spans="2:6">
      <c r="B147">
        <v>143</v>
      </c>
      <c r="C147" t="s">
        <v>249</v>
      </c>
      <c r="D147" s="7">
        <v>10000</v>
      </c>
      <c r="E147" t="s">
        <v>251</v>
      </c>
      <c r="F147" s="9">
        <v>45570</v>
      </c>
    </row>
    <row r="148" spans="2:6">
      <c r="B148">
        <v>144</v>
      </c>
      <c r="C148" t="s">
        <v>252</v>
      </c>
      <c r="D148" s="7">
        <v>1900</v>
      </c>
      <c r="E148" t="s">
        <v>250</v>
      </c>
      <c r="F148" s="9">
        <v>45571</v>
      </c>
    </row>
    <row r="149" spans="2:6">
      <c r="B149">
        <v>145</v>
      </c>
      <c r="C149" t="s">
        <v>253</v>
      </c>
      <c r="D149" s="7">
        <v>3900</v>
      </c>
      <c r="E149" t="s">
        <v>173</v>
      </c>
      <c r="F149" s="9">
        <v>45573</v>
      </c>
    </row>
    <row r="150" spans="2:6">
      <c r="B150">
        <v>146</v>
      </c>
      <c r="C150" t="s">
        <v>254</v>
      </c>
      <c r="D150" s="7">
        <v>106400</v>
      </c>
      <c r="F150" s="9">
        <v>45573</v>
      </c>
    </row>
    <row r="151" spans="2:6">
      <c r="B151">
        <v>147</v>
      </c>
      <c r="C151" t="s">
        <v>255</v>
      </c>
      <c r="D151" s="7">
        <v>13000</v>
      </c>
      <c r="F151" s="9">
        <v>45573</v>
      </c>
    </row>
    <row r="152" spans="2:6">
      <c r="B152">
        <v>148</v>
      </c>
      <c r="C152" t="s">
        <v>256</v>
      </c>
      <c r="D152" s="7">
        <v>1723.22</v>
      </c>
      <c r="E152" t="s">
        <v>173</v>
      </c>
      <c r="F152" s="9">
        <v>45582</v>
      </c>
    </row>
    <row r="153" spans="2:6">
      <c r="B153">
        <v>149</v>
      </c>
      <c r="C153" t="s">
        <v>257</v>
      </c>
      <c r="D153" s="7">
        <v>267.39</v>
      </c>
      <c r="E153" t="s">
        <v>258</v>
      </c>
      <c r="F153" s="9">
        <v>45582</v>
      </c>
    </row>
    <row r="154" spans="2:6">
      <c r="B154">
        <v>150</v>
      </c>
      <c r="C154" t="s">
        <v>243</v>
      </c>
      <c r="D154" s="7">
        <v>152</v>
      </c>
      <c r="E154" t="s">
        <v>259</v>
      </c>
      <c r="F154" s="9">
        <v>45582</v>
      </c>
    </row>
    <row r="155" spans="2:6">
      <c r="B155">
        <v>151</v>
      </c>
      <c r="C155" t="s">
        <v>261</v>
      </c>
      <c r="D155" s="7">
        <v>254000</v>
      </c>
      <c r="E155" t="s">
        <v>260</v>
      </c>
      <c r="F155" s="9">
        <v>45584</v>
      </c>
    </row>
    <row r="156" spans="2:6">
      <c r="B156">
        <v>152</v>
      </c>
      <c r="C156" t="s">
        <v>262</v>
      </c>
      <c r="D156" s="7">
        <v>2900</v>
      </c>
      <c r="E156" t="s">
        <v>263</v>
      </c>
      <c r="F156" s="9">
        <v>45584</v>
      </c>
    </row>
    <row r="157" spans="2:6">
      <c r="B157">
        <v>153</v>
      </c>
      <c r="C157" t="s">
        <v>264</v>
      </c>
      <c r="D157" s="7">
        <v>2396</v>
      </c>
      <c r="E157" t="s">
        <v>265</v>
      </c>
      <c r="F157" s="9">
        <v>45599</v>
      </c>
    </row>
    <row r="158" spans="2:6">
      <c r="B158">
        <v>154</v>
      </c>
      <c r="C158" t="s">
        <v>271</v>
      </c>
      <c r="D158" s="7">
        <v>482016</v>
      </c>
      <c r="E158" t="s">
        <v>272</v>
      </c>
      <c r="F158" s="9">
        <v>45652</v>
      </c>
    </row>
    <row r="159" spans="2:6">
      <c r="B159">
        <v>155</v>
      </c>
      <c r="C159" s="18" t="s">
        <v>274</v>
      </c>
      <c r="D159" s="7">
        <v>564.75</v>
      </c>
      <c r="E159" t="s">
        <v>173</v>
      </c>
      <c r="F159" s="20">
        <v>45675</v>
      </c>
    </row>
    <row r="160" spans="2:6">
      <c r="B160">
        <v>156</v>
      </c>
      <c r="C160" s="18" t="s">
        <v>275</v>
      </c>
      <c r="D160" s="7">
        <v>1216.25</v>
      </c>
      <c r="E160" t="s">
        <v>173</v>
      </c>
      <c r="F160" s="20">
        <v>45675</v>
      </c>
    </row>
    <row r="161" spans="2:6">
      <c r="B161">
        <v>157</v>
      </c>
      <c r="C161" s="18" t="s">
        <v>273</v>
      </c>
      <c r="D161" s="19">
        <v>1890</v>
      </c>
      <c r="E161" t="s">
        <v>173</v>
      </c>
      <c r="F161" s="20">
        <v>45662</v>
      </c>
    </row>
    <row r="162" spans="2:6">
      <c r="B162">
        <v>158</v>
      </c>
      <c r="C162" t="s">
        <v>276</v>
      </c>
      <c r="D162" s="7">
        <v>1098</v>
      </c>
      <c r="F162" s="9">
        <v>45667</v>
      </c>
    </row>
    <row r="163" spans="2:6">
      <c r="B163">
        <v>159</v>
      </c>
      <c r="C163" t="s">
        <v>277</v>
      </c>
      <c r="D163" s="7">
        <v>1075</v>
      </c>
      <c r="F163" s="9">
        <v>45667</v>
      </c>
    </row>
    <row r="164" spans="2:6">
      <c r="B164">
        <v>160</v>
      </c>
      <c r="C164" t="s">
        <v>278</v>
      </c>
      <c r="D164" s="7">
        <v>146000</v>
      </c>
      <c r="E164" t="s">
        <v>279</v>
      </c>
      <c r="F164" s="9">
        <v>45696</v>
      </c>
    </row>
    <row r="165" spans="2:6">
      <c r="B165">
        <v>161</v>
      </c>
      <c r="C165" t="s">
        <v>283</v>
      </c>
      <c r="D165" s="7">
        <v>900</v>
      </c>
      <c r="E165" t="s">
        <v>282</v>
      </c>
      <c r="F165" s="9">
        <v>45724</v>
      </c>
    </row>
    <row r="166" spans="2:6">
      <c r="B166">
        <v>162</v>
      </c>
      <c r="C166" t="s">
        <v>285</v>
      </c>
      <c r="D166" s="7">
        <v>109</v>
      </c>
      <c r="E166" t="s">
        <v>173</v>
      </c>
      <c r="F166" s="9">
        <v>45725</v>
      </c>
    </row>
    <row r="167" spans="2:6">
      <c r="B167">
        <v>163</v>
      </c>
      <c r="C167" t="s">
        <v>284</v>
      </c>
      <c r="D167" s="7">
        <v>279</v>
      </c>
      <c r="E167" t="s">
        <v>173</v>
      </c>
      <c r="F167" s="9">
        <v>45725</v>
      </c>
    </row>
    <row r="168" spans="2:6">
      <c r="B168">
        <v>164</v>
      </c>
      <c r="C168" t="s">
        <v>286</v>
      </c>
      <c r="D168" s="7">
        <v>599</v>
      </c>
      <c r="E168" t="s">
        <v>173</v>
      </c>
      <c r="F168" s="9">
        <v>45725</v>
      </c>
    </row>
    <row r="169" spans="2:6">
      <c r="B169">
        <v>165</v>
      </c>
      <c r="C169" t="s">
        <v>287</v>
      </c>
      <c r="D169" s="7">
        <v>599</v>
      </c>
      <c r="E169" t="s">
        <v>173</v>
      </c>
      <c r="F169" s="9">
        <v>45725</v>
      </c>
    </row>
    <row r="170" spans="2:6">
      <c r="B170">
        <v>166</v>
      </c>
      <c r="C170" s="18" t="s">
        <v>288</v>
      </c>
      <c r="D170" s="7">
        <v>112</v>
      </c>
      <c r="E170" t="s">
        <v>291</v>
      </c>
      <c r="F170" s="9">
        <v>45731</v>
      </c>
    </row>
    <row r="171" spans="2:6">
      <c r="B171">
        <v>167</v>
      </c>
      <c r="C171" s="18" t="s">
        <v>289</v>
      </c>
      <c r="D171" s="7">
        <v>98</v>
      </c>
      <c r="E171" t="s">
        <v>292</v>
      </c>
      <c r="F171" s="9">
        <v>45731</v>
      </c>
    </row>
    <row r="172" spans="2:6">
      <c r="B172">
        <v>168</v>
      </c>
      <c r="C172" s="18" t="s">
        <v>290</v>
      </c>
      <c r="D172" s="7">
        <v>499</v>
      </c>
      <c r="E172" t="s">
        <v>173</v>
      </c>
      <c r="F172" s="9">
        <v>45731</v>
      </c>
    </row>
    <row r="173" spans="2:6">
      <c r="B173">
        <v>169</v>
      </c>
      <c r="C173" t="s">
        <v>293</v>
      </c>
      <c r="D173" s="7">
        <v>889</v>
      </c>
      <c r="E173" t="s">
        <v>173</v>
      </c>
      <c r="F173" s="9">
        <v>45732</v>
      </c>
    </row>
    <row r="174" spans="2:6">
      <c r="B174">
        <v>170</v>
      </c>
      <c r="C174" t="s">
        <v>297</v>
      </c>
      <c r="D174" s="7">
        <v>109</v>
      </c>
      <c r="E174" t="s">
        <v>173</v>
      </c>
      <c r="F174" s="9">
        <v>45732</v>
      </c>
    </row>
    <row r="175" spans="2:6">
      <c r="B175">
        <v>171</v>
      </c>
      <c r="C175" t="s">
        <v>294</v>
      </c>
      <c r="D175" s="7">
        <v>169</v>
      </c>
      <c r="E175" t="s">
        <v>173</v>
      </c>
      <c r="F175" s="9">
        <v>45732</v>
      </c>
    </row>
    <row r="176" spans="2:6">
      <c r="B176">
        <v>172</v>
      </c>
      <c r="C176" t="s">
        <v>125</v>
      </c>
      <c r="D176" s="7">
        <v>159</v>
      </c>
      <c r="E176" t="s">
        <v>173</v>
      </c>
      <c r="F176" s="9">
        <v>45732</v>
      </c>
    </row>
    <row r="177" spans="2:6">
      <c r="B177">
        <v>173</v>
      </c>
      <c r="C177" t="s">
        <v>295</v>
      </c>
      <c r="D177" s="7">
        <v>69</v>
      </c>
      <c r="E177" t="s">
        <v>173</v>
      </c>
      <c r="F177" s="9">
        <v>45732</v>
      </c>
    </row>
    <row r="178" spans="2:6">
      <c r="B178">
        <v>174</v>
      </c>
      <c r="C178" t="s">
        <v>296</v>
      </c>
      <c r="D178" s="7">
        <v>59</v>
      </c>
      <c r="E178" t="s">
        <v>173</v>
      </c>
      <c r="F178" s="9">
        <v>45732</v>
      </c>
    </row>
    <row r="179" spans="2:6">
      <c r="B179">
        <v>175</v>
      </c>
      <c r="C179" t="s">
        <v>298</v>
      </c>
      <c r="D179" s="7">
        <v>69</v>
      </c>
      <c r="E179" t="s">
        <v>173</v>
      </c>
      <c r="F179" s="9">
        <v>45732</v>
      </c>
    </row>
    <row r="180" spans="2:6">
      <c r="B180">
        <v>176</v>
      </c>
      <c r="C180" t="s">
        <v>299</v>
      </c>
      <c r="D180" s="7">
        <v>12000</v>
      </c>
      <c r="E180" t="s">
        <v>173</v>
      </c>
      <c r="F180" s="9">
        <v>45738</v>
      </c>
    </row>
    <row r="181" spans="2:6">
      <c r="B181">
        <v>177</v>
      </c>
      <c r="C181" t="s">
        <v>300</v>
      </c>
      <c r="D181" s="7">
        <v>3791.3</v>
      </c>
      <c r="E181" t="s">
        <v>301</v>
      </c>
      <c r="F181" s="9">
        <v>45738</v>
      </c>
    </row>
    <row r="182" spans="2:6">
      <c r="B182">
        <v>178</v>
      </c>
      <c r="C182" t="s">
        <v>303</v>
      </c>
      <c r="D182" s="7">
        <v>3445.74</v>
      </c>
      <c r="E182" t="s">
        <v>304</v>
      </c>
      <c r="F182" s="9">
        <v>45738</v>
      </c>
    </row>
    <row r="183" spans="2:6">
      <c r="B183">
        <v>179</v>
      </c>
      <c r="C183" t="s">
        <v>305</v>
      </c>
      <c r="D183" s="7">
        <v>5919.96</v>
      </c>
      <c r="E183" t="s">
        <v>306</v>
      </c>
      <c r="F183" s="9">
        <v>45738</v>
      </c>
    </row>
    <row r="184" spans="2:6">
      <c r="B184">
        <v>180</v>
      </c>
      <c r="C184" t="s">
        <v>302</v>
      </c>
      <c r="D184" s="7">
        <v>690</v>
      </c>
      <c r="E184" t="s">
        <v>173</v>
      </c>
      <c r="F184" s="9">
        <v>45738</v>
      </c>
    </row>
    <row r="185" spans="2:6">
      <c r="B185">
        <v>181</v>
      </c>
      <c r="C185" t="s">
        <v>307</v>
      </c>
      <c r="D185" s="7">
        <v>600</v>
      </c>
      <c r="E185" t="s">
        <v>232</v>
      </c>
      <c r="F185" s="9">
        <v>45739</v>
      </c>
    </row>
    <row r="186" spans="2:6">
      <c r="B186">
        <v>182</v>
      </c>
      <c r="C186" s="18" t="s">
        <v>360</v>
      </c>
      <c r="D186" s="7">
        <v>1055.44</v>
      </c>
      <c r="E186" t="s">
        <v>173</v>
      </c>
      <c r="F186" s="9">
        <v>45744</v>
      </c>
    </row>
    <row r="187" spans="2:6">
      <c r="B187">
        <v>183</v>
      </c>
      <c r="C187" s="18" t="s">
        <v>361</v>
      </c>
      <c r="D187" s="7">
        <v>246.55</v>
      </c>
      <c r="E187" t="s">
        <v>173</v>
      </c>
      <c r="F187" s="9">
        <v>45744</v>
      </c>
    </row>
    <row r="188" spans="2:6">
      <c r="B188">
        <v>184</v>
      </c>
      <c r="C188" s="18" t="s">
        <v>362</v>
      </c>
      <c r="D188" s="7">
        <v>599</v>
      </c>
      <c r="E188" t="s">
        <v>173</v>
      </c>
      <c r="F188" s="9">
        <v>45745</v>
      </c>
    </row>
    <row r="189" spans="2:6">
      <c r="B189">
        <v>185</v>
      </c>
      <c r="C189" s="18" t="s">
        <v>363</v>
      </c>
      <c r="D189" s="7">
        <v>482.14</v>
      </c>
      <c r="E189" t="s">
        <v>173</v>
      </c>
      <c r="F189" s="9">
        <v>45746</v>
      </c>
    </row>
    <row r="190" spans="2:6">
      <c r="B190">
        <v>186</v>
      </c>
      <c r="C190" s="18" t="s">
        <v>364</v>
      </c>
      <c r="D190" s="7">
        <v>299.86</v>
      </c>
      <c r="E190" t="s">
        <v>173</v>
      </c>
      <c r="F190" s="9">
        <v>45746</v>
      </c>
    </row>
    <row r="191" spans="2:6">
      <c r="B191">
        <v>187</v>
      </c>
      <c r="C191" t="s">
        <v>366</v>
      </c>
      <c r="D191" s="7">
        <v>9475</v>
      </c>
      <c r="E191" t="s">
        <v>365</v>
      </c>
      <c r="F191" s="9">
        <v>45751</v>
      </c>
    </row>
    <row r="192" spans="2:6">
      <c r="B192">
        <v>188</v>
      </c>
      <c r="C192" t="s">
        <v>367</v>
      </c>
      <c r="D192" s="7">
        <v>3000</v>
      </c>
      <c r="E192" t="s">
        <v>368</v>
      </c>
      <c r="F192" s="9">
        <v>45752</v>
      </c>
    </row>
    <row r="193" spans="2:6">
      <c r="B193">
        <v>189</v>
      </c>
      <c r="C193" s="18" t="s">
        <v>369</v>
      </c>
      <c r="D193" s="7">
        <v>98.97</v>
      </c>
      <c r="E193" t="s">
        <v>173</v>
      </c>
      <c r="F193" s="9">
        <v>45752</v>
      </c>
    </row>
    <row r="194" spans="2:6">
      <c r="B194">
        <v>190</v>
      </c>
      <c r="C194" s="18" t="s">
        <v>370</v>
      </c>
      <c r="D194" s="7">
        <v>44.49</v>
      </c>
      <c r="E194" t="s">
        <v>173</v>
      </c>
      <c r="F194" s="9">
        <v>45752</v>
      </c>
    </row>
    <row r="195" spans="2:6">
      <c r="B195">
        <v>191</v>
      </c>
      <c r="C195" t="s">
        <v>371</v>
      </c>
      <c r="D195" s="7">
        <v>1000</v>
      </c>
      <c r="E195" t="s">
        <v>372</v>
      </c>
      <c r="F195" s="9">
        <v>45746</v>
      </c>
    </row>
    <row r="196" spans="2:6">
      <c r="B196">
        <v>192</v>
      </c>
      <c r="C196" s="18" t="s">
        <v>373</v>
      </c>
      <c r="D196" s="7">
        <v>57.54</v>
      </c>
      <c r="E196" t="s">
        <v>173</v>
      </c>
      <c r="F196" s="9">
        <v>45769</v>
      </c>
    </row>
    <row r="197" spans="2:6">
      <c r="B197">
        <v>193</v>
      </c>
      <c r="C197" s="18" t="s">
        <v>374</v>
      </c>
      <c r="D197" s="7">
        <v>67.290000000000006</v>
      </c>
      <c r="E197" t="s">
        <v>173</v>
      </c>
      <c r="F197" s="9">
        <v>45769</v>
      </c>
    </row>
    <row r="198" spans="2:6">
      <c r="B198">
        <v>194</v>
      </c>
      <c r="C198" s="18" t="s">
        <v>375</v>
      </c>
      <c r="D198" s="7">
        <v>67.290000000000006</v>
      </c>
      <c r="E198" t="s">
        <v>173</v>
      </c>
      <c r="F198" s="9">
        <v>45769</v>
      </c>
    </row>
    <row r="199" spans="2:6">
      <c r="B199">
        <v>195</v>
      </c>
      <c r="C199" s="18" t="s">
        <v>376</v>
      </c>
      <c r="D199" s="7">
        <v>86.79</v>
      </c>
      <c r="E199" t="s">
        <v>173</v>
      </c>
      <c r="F199" s="9">
        <v>45769</v>
      </c>
    </row>
    <row r="200" spans="2:6">
      <c r="B200">
        <v>196</v>
      </c>
      <c r="C200" s="18" t="s">
        <v>377</v>
      </c>
      <c r="D200" s="7">
        <v>193.1</v>
      </c>
      <c r="E200" t="s">
        <v>292</v>
      </c>
      <c r="F200" s="9">
        <v>45769</v>
      </c>
    </row>
    <row r="201" spans="2:6">
      <c r="B201">
        <v>197</v>
      </c>
      <c r="C201" t="s">
        <v>378</v>
      </c>
      <c r="D201" s="7">
        <v>1064</v>
      </c>
      <c r="E201" t="s">
        <v>173</v>
      </c>
      <c r="F201" s="9">
        <v>45773</v>
      </c>
    </row>
    <row r="202" spans="2:6">
      <c r="B202">
        <v>198</v>
      </c>
      <c r="C202" t="s">
        <v>379</v>
      </c>
      <c r="D202" s="7">
        <v>445</v>
      </c>
      <c r="E202" t="s">
        <v>126</v>
      </c>
      <c r="F202" s="9">
        <v>45779</v>
      </c>
    </row>
    <row r="203" spans="2:6">
      <c r="B203">
        <v>199</v>
      </c>
      <c r="C203" s="18" t="s">
        <v>380</v>
      </c>
      <c r="D203" s="7">
        <v>1590</v>
      </c>
      <c r="E203" t="s">
        <v>173</v>
      </c>
      <c r="F203" s="9">
        <v>45779</v>
      </c>
    </row>
    <row r="204" spans="2:6" ht="17.25">
      <c r="B204">
        <v>200</v>
      </c>
      <c r="C204" s="37" t="s">
        <v>381</v>
      </c>
      <c r="D204" s="7">
        <v>1078</v>
      </c>
      <c r="E204" t="s">
        <v>365</v>
      </c>
      <c r="F204" s="9">
        <v>45782</v>
      </c>
    </row>
    <row r="205" spans="2:6">
      <c r="B205">
        <v>201</v>
      </c>
      <c r="C205" t="s">
        <v>382</v>
      </c>
      <c r="D205" s="7">
        <v>90</v>
      </c>
      <c r="E205" t="s">
        <v>365</v>
      </c>
      <c r="F205" s="9">
        <v>45782</v>
      </c>
    </row>
    <row r="206" spans="2:6">
      <c r="B206">
        <v>202</v>
      </c>
      <c r="C206" t="s">
        <v>383</v>
      </c>
      <c r="D206" s="7">
        <v>6941</v>
      </c>
      <c r="E206" t="s">
        <v>173</v>
      </c>
      <c r="F206" s="9">
        <v>45788</v>
      </c>
    </row>
    <row r="207" spans="2:6">
      <c r="B207">
        <v>203</v>
      </c>
      <c r="C207" t="s">
        <v>384</v>
      </c>
      <c r="D207" s="7">
        <v>7300</v>
      </c>
      <c r="E207" t="s">
        <v>272</v>
      </c>
      <c r="F207" s="9">
        <v>45791</v>
      </c>
    </row>
    <row r="208" spans="2:6">
      <c r="B208">
        <v>204</v>
      </c>
      <c r="C208" t="s">
        <v>385</v>
      </c>
      <c r="D208" s="7">
        <v>20000</v>
      </c>
      <c r="E208" t="s">
        <v>365</v>
      </c>
      <c r="F208" s="9">
        <v>45796</v>
      </c>
    </row>
    <row r="209" spans="2:6">
      <c r="B209">
        <v>205</v>
      </c>
      <c r="C209" t="s">
        <v>386</v>
      </c>
      <c r="D209" s="7">
        <v>14154</v>
      </c>
      <c r="E209" t="s">
        <v>365</v>
      </c>
      <c r="F209" s="9">
        <v>45808</v>
      </c>
    </row>
    <row r="210" spans="2:6">
      <c r="B210">
        <v>206</v>
      </c>
      <c r="C210" t="s">
        <v>387</v>
      </c>
      <c r="D210" s="7">
        <v>57.2</v>
      </c>
      <c r="E210" t="s">
        <v>173</v>
      </c>
      <c r="F210" s="9">
        <v>45823</v>
      </c>
    </row>
    <row r="211" spans="2:6">
      <c r="B211">
        <v>207</v>
      </c>
      <c r="C211" t="s">
        <v>388</v>
      </c>
      <c r="D211" s="7">
        <v>222.02</v>
      </c>
      <c r="E211" t="s">
        <v>173</v>
      </c>
      <c r="F211" s="9">
        <v>45823</v>
      </c>
    </row>
    <row r="212" spans="2:6">
      <c r="B212">
        <v>208</v>
      </c>
      <c r="C212" t="s">
        <v>389</v>
      </c>
      <c r="D212" s="7">
        <v>78.540000000000006</v>
      </c>
      <c r="E212" t="s">
        <v>392</v>
      </c>
      <c r="F212" s="9">
        <v>45823</v>
      </c>
    </row>
    <row r="213" spans="2:6">
      <c r="B213">
        <v>209</v>
      </c>
      <c r="C213" t="s">
        <v>390</v>
      </c>
      <c r="D213" s="7">
        <v>377.14</v>
      </c>
      <c r="E213" t="s">
        <v>173</v>
      </c>
      <c r="F213" s="9">
        <v>45823</v>
      </c>
    </row>
    <row r="214" spans="2:6">
      <c r="B214">
        <v>210</v>
      </c>
      <c r="C214" t="s">
        <v>391</v>
      </c>
      <c r="D214" s="7">
        <v>192.93</v>
      </c>
      <c r="E214" t="s">
        <v>173</v>
      </c>
      <c r="F214" s="9">
        <v>45823</v>
      </c>
    </row>
    <row r="215" spans="2:6">
      <c r="B215">
        <v>211</v>
      </c>
      <c r="C215" t="s">
        <v>403</v>
      </c>
      <c r="D215" s="7">
        <v>4551</v>
      </c>
      <c r="E215" t="s">
        <v>173</v>
      </c>
      <c r="F215" s="9">
        <v>45829</v>
      </c>
    </row>
    <row r="216" spans="2:6">
      <c r="B216">
        <v>212</v>
      </c>
      <c r="C216" s="38" t="s">
        <v>404</v>
      </c>
      <c r="D216" s="7">
        <v>49.77</v>
      </c>
      <c r="E216" t="s">
        <v>173</v>
      </c>
      <c r="F216" s="9">
        <v>45836</v>
      </c>
    </row>
    <row r="217" spans="2:6">
      <c r="B217">
        <v>213</v>
      </c>
      <c r="C217" s="38" t="s">
        <v>405</v>
      </c>
      <c r="D217" s="7">
        <v>55.88</v>
      </c>
      <c r="E217" t="s">
        <v>173</v>
      </c>
      <c r="F217" s="9">
        <v>45836</v>
      </c>
    </row>
    <row r="218" spans="2:6">
      <c r="B218">
        <v>214</v>
      </c>
      <c r="C218" s="38" t="s">
        <v>406</v>
      </c>
      <c r="D218" s="7">
        <v>103.04</v>
      </c>
      <c r="E218" t="s">
        <v>173</v>
      </c>
      <c r="F218" s="9">
        <v>45836</v>
      </c>
    </row>
    <row r="219" spans="2:6">
      <c r="B219">
        <v>215</v>
      </c>
      <c r="C219" s="38" t="s">
        <v>407</v>
      </c>
      <c r="D219" s="7">
        <v>64.61</v>
      </c>
      <c r="E219" t="s">
        <v>173</v>
      </c>
      <c r="F219" s="9">
        <v>45836</v>
      </c>
    </row>
    <row r="220" spans="2:6">
      <c r="B220">
        <v>216</v>
      </c>
      <c r="C220" s="38" t="s">
        <v>408</v>
      </c>
      <c r="D220" s="7">
        <v>132.72999999999999</v>
      </c>
      <c r="E220" t="s">
        <v>173</v>
      </c>
      <c r="F220" s="9">
        <v>45836</v>
      </c>
    </row>
    <row r="221" spans="2:6">
      <c r="B221">
        <v>217</v>
      </c>
      <c r="C221" s="38" t="s">
        <v>373</v>
      </c>
      <c r="D221" s="7">
        <v>51.52</v>
      </c>
      <c r="E221" t="s">
        <v>173</v>
      </c>
      <c r="F221" s="9">
        <v>45836</v>
      </c>
    </row>
    <row r="222" spans="2:6">
      <c r="B222">
        <v>218</v>
      </c>
      <c r="C222" s="38" t="s">
        <v>409</v>
      </c>
      <c r="D222" s="7">
        <v>130.1</v>
      </c>
      <c r="E222" t="s">
        <v>173</v>
      </c>
      <c r="F222" s="9">
        <v>45836</v>
      </c>
    </row>
    <row r="223" spans="2:6">
      <c r="B223">
        <v>219</v>
      </c>
      <c r="C223" t="s">
        <v>410</v>
      </c>
      <c r="D223" s="7">
        <v>15789</v>
      </c>
      <c r="E223" t="s">
        <v>173</v>
      </c>
      <c r="F223" s="9">
        <v>45837</v>
      </c>
    </row>
    <row r="224" spans="2:6">
      <c r="B224">
        <v>220</v>
      </c>
      <c r="C224" s="18" t="s">
        <v>411</v>
      </c>
      <c r="D224" s="39">
        <v>389</v>
      </c>
      <c r="E224" t="s">
        <v>173</v>
      </c>
      <c r="F224" s="9">
        <v>45848</v>
      </c>
    </row>
    <row r="225" spans="2:6">
      <c r="B225">
        <v>221</v>
      </c>
      <c r="C225" s="18" t="s">
        <v>373</v>
      </c>
      <c r="D225" s="7">
        <v>59</v>
      </c>
      <c r="E225" t="s">
        <v>173</v>
      </c>
      <c r="F225" s="9">
        <v>45848</v>
      </c>
    </row>
    <row r="226" spans="2:6">
      <c r="B226">
        <v>222</v>
      </c>
      <c r="C226" s="18" t="s">
        <v>412</v>
      </c>
      <c r="D226" s="7">
        <v>2590</v>
      </c>
      <c r="E226" t="s">
        <v>173</v>
      </c>
      <c r="F226" s="9">
        <v>45848</v>
      </c>
    </row>
    <row r="227" spans="2:6">
      <c r="B227">
        <v>223</v>
      </c>
      <c r="C227" s="18" t="s">
        <v>413</v>
      </c>
      <c r="D227" s="7">
        <v>2590</v>
      </c>
      <c r="E227" t="s">
        <v>173</v>
      </c>
      <c r="F227" s="9">
        <v>45848</v>
      </c>
    </row>
    <row r="228" spans="2:6">
      <c r="B228">
        <v>224</v>
      </c>
      <c r="C228" s="40" t="s">
        <v>414</v>
      </c>
      <c r="D228" s="41">
        <v>1490</v>
      </c>
      <c r="E228" t="s">
        <v>173</v>
      </c>
      <c r="F228" s="9">
        <v>45848</v>
      </c>
    </row>
    <row r="229" spans="2:6">
      <c r="B229">
        <v>225</v>
      </c>
      <c r="C229" t="s">
        <v>415</v>
      </c>
      <c r="D229" s="7">
        <v>8000</v>
      </c>
      <c r="E229" t="s">
        <v>272</v>
      </c>
      <c r="F229" s="9">
        <v>45849</v>
      </c>
    </row>
    <row r="230" spans="2:6">
      <c r="B230">
        <v>226</v>
      </c>
      <c r="C230" t="s">
        <v>415</v>
      </c>
      <c r="D230" s="7">
        <v>7000</v>
      </c>
      <c r="E230" t="s">
        <v>272</v>
      </c>
      <c r="F230" s="9">
        <v>45852</v>
      </c>
    </row>
    <row r="231" spans="2:6">
      <c r="B231">
        <v>227</v>
      </c>
      <c r="C231" t="s">
        <v>417</v>
      </c>
      <c r="D231" s="7">
        <v>500</v>
      </c>
      <c r="E231" t="s">
        <v>416</v>
      </c>
      <c r="F231" s="9">
        <v>45844</v>
      </c>
    </row>
    <row r="232" spans="2:6">
      <c r="B232">
        <v>228</v>
      </c>
      <c r="C232" t="s">
        <v>418</v>
      </c>
      <c r="D232" s="7">
        <v>6675</v>
      </c>
      <c r="E232" t="s">
        <v>419</v>
      </c>
      <c r="F232" s="9"/>
    </row>
    <row r="233" spans="2:6">
      <c r="B233">
        <v>229</v>
      </c>
      <c r="C233" t="s">
        <v>420</v>
      </c>
      <c r="D233" s="7">
        <v>605</v>
      </c>
      <c r="E233" t="s">
        <v>173</v>
      </c>
      <c r="F233" s="9"/>
    </row>
    <row r="234" spans="2:6">
      <c r="B234">
        <v>230</v>
      </c>
      <c r="C234" t="s">
        <v>421</v>
      </c>
      <c r="D234" s="7">
        <v>1148</v>
      </c>
      <c r="E234" t="s">
        <v>173</v>
      </c>
      <c r="F234" s="9"/>
    </row>
    <row r="235" spans="2:6">
      <c r="B235">
        <v>231</v>
      </c>
      <c r="C235" s="42" t="s">
        <v>422</v>
      </c>
      <c r="D235" s="7">
        <v>153.61000000000001</v>
      </c>
      <c r="E235" t="s">
        <v>173</v>
      </c>
      <c r="F235" s="9"/>
    </row>
    <row r="236" spans="2:6">
      <c r="B236">
        <v>232</v>
      </c>
      <c r="C236" t="s">
        <v>423</v>
      </c>
      <c r="D236" s="7">
        <v>373.45</v>
      </c>
      <c r="E236" t="s">
        <v>173</v>
      </c>
      <c r="F236" s="9"/>
    </row>
    <row r="237" spans="2:6">
      <c r="B237">
        <v>233</v>
      </c>
      <c r="C237" s="42" t="s">
        <v>424</v>
      </c>
      <c r="D237" s="7">
        <v>1143</v>
      </c>
      <c r="E237" t="s">
        <v>173</v>
      </c>
      <c r="F237" s="9"/>
    </row>
    <row r="238" spans="2:6">
      <c r="B238">
        <v>234</v>
      </c>
      <c r="C238" s="42" t="s">
        <v>425</v>
      </c>
      <c r="D238" s="7">
        <v>1843</v>
      </c>
      <c r="E238" t="s">
        <v>173</v>
      </c>
      <c r="F238" s="9"/>
    </row>
    <row r="239" spans="2:6">
      <c r="B239">
        <v>235</v>
      </c>
      <c r="C239" t="s">
        <v>426</v>
      </c>
      <c r="D239" s="7">
        <v>1140</v>
      </c>
      <c r="E239" t="s">
        <v>173</v>
      </c>
      <c r="F239" s="9"/>
    </row>
    <row r="240" spans="2:6">
      <c r="B240">
        <v>236</v>
      </c>
      <c r="C240" s="18" t="s">
        <v>427</v>
      </c>
      <c r="D240" s="19">
        <v>2089.8000000000002</v>
      </c>
      <c r="E240" t="s">
        <v>173</v>
      </c>
      <c r="F240" s="20">
        <v>45880</v>
      </c>
    </row>
    <row r="241" spans="2:6">
      <c r="B241">
        <v>237</v>
      </c>
      <c r="C241" s="18" t="s">
        <v>428</v>
      </c>
      <c r="D241" s="7">
        <v>37.22</v>
      </c>
      <c r="E241" t="s">
        <v>173</v>
      </c>
      <c r="F241" s="20">
        <v>45880</v>
      </c>
    </row>
    <row r="242" spans="2:6">
      <c r="B242">
        <v>238</v>
      </c>
      <c r="C242" s="18" t="s">
        <v>429</v>
      </c>
      <c r="D242" s="7">
        <v>208.98</v>
      </c>
      <c r="E242" t="s">
        <v>173</v>
      </c>
      <c r="F242" s="20">
        <v>45880</v>
      </c>
    </row>
    <row r="243" spans="2:6">
      <c r="B243">
        <v>239</v>
      </c>
      <c r="C243" s="18" t="s">
        <v>430</v>
      </c>
      <c r="D243" s="7">
        <v>289</v>
      </c>
      <c r="E243" t="s">
        <v>173</v>
      </c>
      <c r="F243" s="20">
        <v>45882</v>
      </c>
    </row>
    <row r="244" spans="2:6">
      <c r="B244">
        <v>240</v>
      </c>
      <c r="C244" s="18" t="s">
        <v>431</v>
      </c>
      <c r="D244" s="7">
        <v>169</v>
      </c>
      <c r="E244" t="s">
        <v>173</v>
      </c>
      <c r="F244" s="20">
        <v>45882</v>
      </c>
    </row>
    <row r="245" spans="2:6">
      <c r="B245">
        <v>241</v>
      </c>
      <c r="C245" s="18" t="s">
        <v>432</v>
      </c>
      <c r="D245" s="7">
        <v>849</v>
      </c>
      <c r="E245" t="s">
        <v>173</v>
      </c>
      <c r="F245" s="20">
        <v>45882</v>
      </c>
    </row>
    <row r="246" spans="2:6">
      <c r="B246">
        <v>242</v>
      </c>
      <c r="C246" s="18" t="s">
        <v>433</v>
      </c>
      <c r="D246" s="7">
        <v>339</v>
      </c>
      <c r="E246" t="s">
        <v>173</v>
      </c>
      <c r="F246" s="20">
        <v>45882</v>
      </c>
    </row>
    <row r="247" spans="2:6">
      <c r="B247">
        <v>243</v>
      </c>
      <c r="C247" t="s">
        <v>434</v>
      </c>
      <c r="D247" s="7">
        <v>881.91</v>
      </c>
      <c r="E247" t="s">
        <v>435</v>
      </c>
      <c r="F247" s="9">
        <v>45879</v>
      </c>
    </row>
    <row r="248" spans="2:6">
      <c r="B248">
        <v>244</v>
      </c>
      <c r="C248" t="s">
        <v>436</v>
      </c>
      <c r="D248" s="7">
        <v>1464.94</v>
      </c>
      <c r="E248" t="s">
        <v>173</v>
      </c>
      <c r="F248" s="9">
        <v>45879</v>
      </c>
    </row>
    <row r="249" spans="2:6">
      <c r="B249">
        <v>245</v>
      </c>
      <c r="C249" t="s">
        <v>437</v>
      </c>
      <c r="D249" s="7">
        <v>785.56</v>
      </c>
      <c r="E249" t="s">
        <v>439</v>
      </c>
      <c r="F249" s="9">
        <v>45879</v>
      </c>
    </row>
    <row r="250" spans="2:6">
      <c r="B250">
        <v>246</v>
      </c>
      <c r="C250" t="s">
        <v>438</v>
      </c>
      <c r="D250" s="7">
        <v>1451.16</v>
      </c>
      <c r="E250" t="s">
        <v>443</v>
      </c>
      <c r="F250" s="9">
        <v>45879</v>
      </c>
    </row>
    <row r="251" spans="2:6">
      <c r="B251">
        <v>247</v>
      </c>
      <c r="C251" s="18" t="s">
        <v>440</v>
      </c>
      <c r="D251" s="7">
        <v>515.94000000000005</v>
      </c>
      <c r="E251" t="s">
        <v>444</v>
      </c>
      <c r="F251" s="9">
        <v>45886</v>
      </c>
    </row>
    <row r="252" spans="2:6">
      <c r="B252">
        <v>248</v>
      </c>
      <c r="C252" s="18" t="s">
        <v>441</v>
      </c>
      <c r="D252" s="7">
        <v>197.58</v>
      </c>
      <c r="E252" t="s">
        <v>173</v>
      </c>
      <c r="F252" s="9">
        <v>45886</v>
      </c>
    </row>
    <row r="253" spans="2:6">
      <c r="B253">
        <v>249</v>
      </c>
      <c r="C253" s="18" t="s">
        <v>442</v>
      </c>
      <c r="D253" s="7">
        <v>292.48</v>
      </c>
      <c r="E253" t="s">
        <v>173</v>
      </c>
      <c r="F253" s="9">
        <v>45886</v>
      </c>
    </row>
    <row r="254" spans="2:6">
      <c r="B254">
        <v>250</v>
      </c>
      <c r="C254" t="s">
        <v>465</v>
      </c>
      <c r="D254" s="7">
        <v>58000</v>
      </c>
      <c r="E254" t="s">
        <v>464</v>
      </c>
      <c r="F254" s="9">
        <v>45913</v>
      </c>
    </row>
    <row r="255" spans="2:6">
      <c r="B255">
        <v>251</v>
      </c>
      <c r="C255" t="s">
        <v>466</v>
      </c>
      <c r="D255" s="7">
        <v>194700</v>
      </c>
      <c r="E255" t="s">
        <v>467</v>
      </c>
      <c r="F255" s="9">
        <v>45915</v>
      </c>
    </row>
    <row r="256" spans="2:6">
      <c r="B256">
        <v>252</v>
      </c>
      <c r="C256" t="s">
        <v>468</v>
      </c>
      <c r="D256" s="7">
        <v>7000</v>
      </c>
      <c r="E256" t="s">
        <v>467</v>
      </c>
      <c r="F256" s="9">
        <v>45915</v>
      </c>
    </row>
    <row r="257" spans="2:6">
      <c r="B257">
        <v>253</v>
      </c>
      <c r="C257" s="18" t="s">
        <v>469</v>
      </c>
      <c r="D257" s="7">
        <v>829</v>
      </c>
      <c r="E257" t="s">
        <v>173</v>
      </c>
      <c r="F257" s="9">
        <v>45916</v>
      </c>
    </row>
    <row r="258" spans="2:6">
      <c r="B258">
        <v>254</v>
      </c>
      <c r="C258" s="18" t="s">
        <v>470</v>
      </c>
      <c r="D258" s="7">
        <v>117</v>
      </c>
      <c r="E258" t="s">
        <v>173</v>
      </c>
      <c r="F258" s="9">
        <v>45916</v>
      </c>
    </row>
    <row r="259" spans="2:6">
      <c r="B259">
        <v>255</v>
      </c>
      <c r="C259" s="18" t="s">
        <v>471</v>
      </c>
      <c r="D259" s="7">
        <v>179</v>
      </c>
      <c r="E259" t="s">
        <v>173</v>
      </c>
      <c r="F259" s="9">
        <v>45916</v>
      </c>
    </row>
    <row r="260" spans="2:6">
      <c r="B260">
        <v>256</v>
      </c>
      <c r="C260" s="18" t="s">
        <v>431</v>
      </c>
      <c r="D260" s="7">
        <v>169</v>
      </c>
      <c r="E260" t="s">
        <v>173</v>
      </c>
      <c r="F260" s="9">
        <v>45916</v>
      </c>
    </row>
    <row r="261" spans="2:6">
      <c r="B261">
        <v>257</v>
      </c>
      <c r="C261" s="18" t="s">
        <v>472</v>
      </c>
      <c r="D261" s="7">
        <v>1269</v>
      </c>
      <c r="E261" t="s">
        <v>173</v>
      </c>
      <c r="F261" s="9">
        <v>45916</v>
      </c>
    </row>
    <row r="262" spans="2:6">
      <c r="B262">
        <v>258</v>
      </c>
      <c r="C262" t="s">
        <v>473</v>
      </c>
      <c r="D262" s="7">
        <v>4000</v>
      </c>
      <c r="E262" t="s">
        <v>474</v>
      </c>
      <c r="F262" s="9">
        <v>45916</v>
      </c>
    </row>
    <row r="263" spans="2:6">
      <c r="B263">
        <v>259</v>
      </c>
      <c r="C263" s="18" t="s">
        <v>475</v>
      </c>
      <c r="D263" s="7">
        <v>262.33999999999997</v>
      </c>
      <c r="F263" s="9">
        <v>45917</v>
      </c>
    </row>
    <row r="264" spans="2:6">
      <c r="B264">
        <v>260</v>
      </c>
      <c r="C264" s="18" t="s">
        <v>476</v>
      </c>
      <c r="D264" s="7">
        <v>56.15</v>
      </c>
      <c r="F264" s="9">
        <v>45917</v>
      </c>
    </row>
    <row r="265" spans="2:6">
      <c r="B265">
        <v>261</v>
      </c>
      <c r="C265" s="18" t="s">
        <v>477</v>
      </c>
      <c r="D265" s="7">
        <v>697.5</v>
      </c>
      <c r="E265" t="s">
        <v>478</v>
      </c>
      <c r="F265" s="9">
        <v>45917</v>
      </c>
    </row>
    <row r="266" spans="2:6">
      <c r="B266">
        <v>262</v>
      </c>
      <c r="C266" t="s">
        <v>479</v>
      </c>
      <c r="D266" s="7">
        <v>13300</v>
      </c>
      <c r="E266" t="s">
        <v>480</v>
      </c>
      <c r="F266" s="9">
        <v>45917</v>
      </c>
    </row>
    <row r="267" spans="2:6">
      <c r="B267">
        <v>263</v>
      </c>
      <c r="C267" s="18" t="s">
        <v>475</v>
      </c>
      <c r="D267" s="7">
        <v>299</v>
      </c>
      <c r="E267" t="s">
        <v>173</v>
      </c>
      <c r="F267" s="9">
        <v>45919</v>
      </c>
    </row>
    <row r="268" spans="2:6">
      <c r="B268">
        <v>264</v>
      </c>
      <c r="C268" s="18" t="s">
        <v>481</v>
      </c>
      <c r="D268" s="7">
        <v>124</v>
      </c>
      <c r="E268" t="s">
        <v>486</v>
      </c>
      <c r="F268" s="9">
        <v>45919</v>
      </c>
    </row>
    <row r="269" spans="2:6">
      <c r="B269">
        <v>265</v>
      </c>
      <c r="C269" s="18" t="s">
        <v>482</v>
      </c>
      <c r="D269" s="7">
        <v>59</v>
      </c>
      <c r="E269" t="s">
        <v>173</v>
      </c>
      <c r="F269" s="9">
        <v>45919</v>
      </c>
    </row>
    <row r="270" spans="2:6">
      <c r="B270">
        <v>266</v>
      </c>
      <c r="C270" s="18" t="s">
        <v>483</v>
      </c>
      <c r="D270" s="7">
        <v>32</v>
      </c>
      <c r="E270" t="s">
        <v>173</v>
      </c>
      <c r="F270" s="9">
        <v>45919</v>
      </c>
    </row>
    <row r="271" spans="2:6">
      <c r="B271">
        <v>267</v>
      </c>
      <c r="C271" s="18" t="s">
        <v>484</v>
      </c>
      <c r="D271" s="7">
        <v>69</v>
      </c>
      <c r="E271" t="s">
        <v>173</v>
      </c>
      <c r="F271" s="9">
        <v>45919</v>
      </c>
    </row>
    <row r="272" spans="2:6">
      <c r="B272">
        <v>268</v>
      </c>
      <c r="C272" s="18" t="s">
        <v>485</v>
      </c>
      <c r="D272" s="7">
        <v>195</v>
      </c>
      <c r="E272" t="s">
        <v>487</v>
      </c>
      <c r="F272" s="9">
        <v>45919</v>
      </c>
    </row>
    <row r="273" spans="2:6">
      <c r="B273">
        <v>269</v>
      </c>
      <c r="C273" s="18" t="s">
        <v>488</v>
      </c>
      <c r="D273" s="7">
        <v>99.84</v>
      </c>
      <c r="E273" t="s">
        <v>173</v>
      </c>
      <c r="F273" s="9">
        <v>45920</v>
      </c>
    </row>
    <row r="274" spans="2:6">
      <c r="B274">
        <v>270</v>
      </c>
      <c r="C274" s="18" t="s">
        <v>489</v>
      </c>
      <c r="D274" s="7">
        <v>585.32000000000005</v>
      </c>
      <c r="E274" t="s">
        <v>173</v>
      </c>
      <c r="F274" s="9">
        <v>45920</v>
      </c>
    </row>
    <row r="275" spans="2:6">
      <c r="B275">
        <v>271</v>
      </c>
      <c r="C275" s="18" t="s">
        <v>490</v>
      </c>
      <c r="D275" s="7">
        <v>99.84</v>
      </c>
      <c r="E275" t="s">
        <v>173</v>
      </c>
      <c r="F275" s="9">
        <v>45920</v>
      </c>
    </row>
    <row r="276" spans="2:6">
      <c r="B276">
        <v>272</v>
      </c>
      <c r="C276" s="18" t="s">
        <v>469</v>
      </c>
      <c r="D276" s="7">
        <v>829</v>
      </c>
      <c r="E276" t="s">
        <v>173</v>
      </c>
      <c r="F276" s="9">
        <v>45921</v>
      </c>
    </row>
    <row r="277" spans="2:6">
      <c r="B277">
        <v>273</v>
      </c>
      <c r="C277" s="18" t="s">
        <v>469</v>
      </c>
      <c r="D277" s="7">
        <v>829</v>
      </c>
      <c r="E277" t="s">
        <v>173</v>
      </c>
      <c r="F277" s="9">
        <v>45921</v>
      </c>
    </row>
    <row r="278" spans="2:6">
      <c r="B278">
        <v>274</v>
      </c>
      <c r="C278" s="18" t="s">
        <v>469</v>
      </c>
      <c r="D278" s="7">
        <v>731</v>
      </c>
      <c r="E278" t="s">
        <v>173</v>
      </c>
      <c r="F278" s="9">
        <v>45923</v>
      </c>
    </row>
    <row r="279" spans="2:6">
      <c r="B279">
        <v>275</v>
      </c>
      <c r="C279" s="18" t="s">
        <v>491</v>
      </c>
      <c r="D279" s="7">
        <v>1269</v>
      </c>
      <c r="E279" t="s">
        <v>173</v>
      </c>
      <c r="F279" s="9">
        <v>45929</v>
      </c>
    </row>
    <row r="280" spans="2:6">
      <c r="B280">
        <v>276</v>
      </c>
      <c r="C280" s="18" t="s">
        <v>425</v>
      </c>
      <c r="D280" s="7">
        <v>375</v>
      </c>
      <c r="E280" t="s">
        <v>173</v>
      </c>
      <c r="F280" s="9">
        <v>45929</v>
      </c>
    </row>
    <row r="281" spans="2:6">
      <c r="B281">
        <v>277</v>
      </c>
      <c r="C281" s="18" t="s">
        <v>425</v>
      </c>
      <c r="D281" s="7">
        <v>375</v>
      </c>
      <c r="E281" t="s">
        <v>173</v>
      </c>
      <c r="F281" s="9">
        <v>45933</v>
      </c>
    </row>
    <row r="282" spans="2:6">
      <c r="B282">
        <v>278</v>
      </c>
      <c r="C282" t="s">
        <v>493</v>
      </c>
      <c r="D282" s="7">
        <v>11300</v>
      </c>
      <c r="E282" t="s">
        <v>492</v>
      </c>
      <c r="F282" s="9">
        <v>45946</v>
      </c>
    </row>
    <row r="283" spans="2:6">
      <c r="B283">
        <v>279</v>
      </c>
      <c r="C283" t="s">
        <v>494</v>
      </c>
      <c r="D283" s="7">
        <v>7722</v>
      </c>
      <c r="E283" t="s">
        <v>497</v>
      </c>
      <c r="F283" s="9">
        <v>45947</v>
      </c>
    </row>
    <row r="284" spans="2:6">
      <c r="B284">
        <v>280</v>
      </c>
      <c r="C284" t="s">
        <v>495</v>
      </c>
      <c r="D284" s="7">
        <v>1764</v>
      </c>
      <c r="E284" t="s">
        <v>497</v>
      </c>
      <c r="F284" s="9">
        <v>45947</v>
      </c>
    </row>
    <row r="285" spans="2:6">
      <c r="B285">
        <v>281</v>
      </c>
      <c r="C285" t="s">
        <v>496</v>
      </c>
      <c r="D285" s="7">
        <v>136</v>
      </c>
      <c r="E285" t="s">
        <v>497</v>
      </c>
      <c r="F285" s="9">
        <v>45947</v>
      </c>
    </row>
    <row r="286" spans="2:6">
      <c r="B286">
        <v>282</v>
      </c>
      <c r="C286" t="s">
        <v>381</v>
      </c>
      <c r="D286" s="7">
        <v>717</v>
      </c>
      <c r="E286" t="s">
        <v>497</v>
      </c>
      <c r="F286" s="9">
        <v>45947</v>
      </c>
    </row>
    <row r="287" spans="2:6">
      <c r="B287">
        <v>283</v>
      </c>
      <c r="C287" t="s">
        <v>498</v>
      </c>
      <c r="D287" s="7">
        <v>716</v>
      </c>
      <c r="E287" t="s">
        <v>173</v>
      </c>
      <c r="F287" s="9">
        <v>45949</v>
      </c>
    </row>
    <row r="288" spans="2:6">
      <c r="B288">
        <v>284</v>
      </c>
      <c r="C288" t="s">
        <v>499</v>
      </c>
      <c r="D288" s="7">
        <v>604</v>
      </c>
      <c r="E288" t="s">
        <v>173</v>
      </c>
      <c r="F288" s="9">
        <v>45949</v>
      </c>
    </row>
    <row r="289" spans="2:6">
      <c r="B289">
        <v>285</v>
      </c>
      <c r="C289" s="18" t="s">
        <v>431</v>
      </c>
      <c r="D289" s="7">
        <v>139.35</v>
      </c>
      <c r="E289" t="s">
        <v>173</v>
      </c>
      <c r="F289" s="9">
        <v>45952</v>
      </c>
    </row>
    <row r="290" spans="2:6">
      <c r="B290">
        <v>286</v>
      </c>
      <c r="C290" s="18" t="s">
        <v>500</v>
      </c>
      <c r="D290" s="7">
        <v>131.11000000000001</v>
      </c>
      <c r="E290" t="s">
        <v>173</v>
      </c>
      <c r="F290" s="9">
        <v>45952</v>
      </c>
    </row>
    <row r="291" spans="2:6">
      <c r="B291">
        <v>287</v>
      </c>
      <c r="C291" s="18" t="s">
        <v>501</v>
      </c>
      <c r="D291" s="7">
        <v>246.54</v>
      </c>
      <c r="E291" t="s">
        <v>173</v>
      </c>
      <c r="F291" s="9">
        <v>45952</v>
      </c>
    </row>
    <row r="292" spans="2:6">
      <c r="B292">
        <v>288</v>
      </c>
      <c r="C292" t="s">
        <v>502</v>
      </c>
      <c r="D292" s="7">
        <v>44500</v>
      </c>
      <c r="E292" t="s">
        <v>503</v>
      </c>
      <c r="F292" s="9">
        <v>45953</v>
      </c>
    </row>
    <row r="293" spans="2:6">
      <c r="B293">
        <v>289</v>
      </c>
      <c r="C293" t="s">
        <v>504</v>
      </c>
      <c r="D293" s="7">
        <v>44050</v>
      </c>
      <c r="E293" t="s">
        <v>505</v>
      </c>
      <c r="F293" s="9">
        <v>45954</v>
      </c>
    </row>
    <row r="294" spans="2:6">
      <c r="B294">
        <v>290</v>
      </c>
      <c r="C294" t="s">
        <v>506</v>
      </c>
      <c r="D294" s="7">
        <v>500</v>
      </c>
      <c r="E294" t="s">
        <v>507</v>
      </c>
      <c r="F294" s="9">
        <v>45954</v>
      </c>
    </row>
    <row r="295" spans="2:6">
      <c r="B295">
        <v>291</v>
      </c>
      <c r="C295" t="s">
        <v>510</v>
      </c>
      <c r="D295" s="7">
        <v>136080</v>
      </c>
      <c r="E295" t="s">
        <v>467</v>
      </c>
      <c r="F295" s="9">
        <v>45968</v>
      </c>
    </row>
    <row r="296" spans="2:6">
      <c r="B296">
        <v>292</v>
      </c>
      <c r="C296" t="s">
        <v>508</v>
      </c>
      <c r="D296" s="7">
        <v>8500</v>
      </c>
      <c r="E296" t="s">
        <v>509</v>
      </c>
      <c r="F296" s="9">
        <v>45968</v>
      </c>
    </row>
    <row r="297" spans="2:6">
      <c r="B297">
        <v>293</v>
      </c>
      <c r="C297" t="s">
        <v>511</v>
      </c>
      <c r="D297" s="7">
        <v>3290</v>
      </c>
      <c r="E297" t="s">
        <v>173</v>
      </c>
      <c r="F297" s="9">
        <v>45967</v>
      </c>
    </row>
    <row r="298" spans="2:6">
      <c r="B298">
        <v>294</v>
      </c>
      <c r="C298" s="18" t="s">
        <v>512</v>
      </c>
      <c r="D298" s="7">
        <v>2893</v>
      </c>
      <c r="E298" t="s">
        <v>173</v>
      </c>
      <c r="F298" s="9">
        <v>45972</v>
      </c>
    </row>
    <row r="299" spans="2:6">
      <c r="B299">
        <v>295</v>
      </c>
      <c r="C299" t="s">
        <v>513</v>
      </c>
      <c r="D299" s="7">
        <v>569.9</v>
      </c>
      <c r="E299" t="s">
        <v>514</v>
      </c>
      <c r="F299" s="9">
        <v>45974</v>
      </c>
    </row>
    <row r="300" spans="2:6">
      <c r="B300">
        <v>296</v>
      </c>
      <c r="C300" s="18" t="s">
        <v>515</v>
      </c>
      <c r="D300" s="7">
        <v>265.61</v>
      </c>
      <c r="E300" t="s">
        <v>173</v>
      </c>
      <c r="F300" s="9">
        <v>45979</v>
      </c>
    </row>
    <row r="301" spans="2:6">
      <c r="B301">
        <v>297</v>
      </c>
      <c r="C301" s="18" t="s">
        <v>516</v>
      </c>
      <c r="D301" s="7">
        <v>76.39</v>
      </c>
      <c r="E301" t="s">
        <v>173</v>
      </c>
      <c r="F301" s="9">
        <v>45979</v>
      </c>
    </row>
    <row r="302" spans="2:6">
      <c r="B302">
        <v>298</v>
      </c>
      <c r="C302" s="18" t="s">
        <v>517</v>
      </c>
      <c r="D302" s="7">
        <v>153</v>
      </c>
      <c r="E302" t="s">
        <v>173</v>
      </c>
      <c r="F302" s="9">
        <v>45984</v>
      </c>
    </row>
    <row r="303" spans="2:6">
      <c r="B303">
        <v>299</v>
      </c>
      <c r="C303" t="s">
        <v>518</v>
      </c>
      <c r="D303" s="7">
        <v>154.12</v>
      </c>
      <c r="E303" t="s">
        <v>173</v>
      </c>
      <c r="F303" s="9">
        <v>45995</v>
      </c>
    </row>
    <row r="304" spans="2:6">
      <c r="B304">
        <v>300</v>
      </c>
      <c r="C304" t="s">
        <v>519</v>
      </c>
      <c r="D304" s="7">
        <v>154.12</v>
      </c>
      <c r="E304" t="s">
        <v>173</v>
      </c>
      <c r="F304" s="9">
        <v>45995</v>
      </c>
    </row>
    <row r="305" spans="2:6">
      <c r="B305">
        <v>301</v>
      </c>
      <c r="C305" t="s">
        <v>520</v>
      </c>
      <c r="D305" s="7">
        <v>168.76</v>
      </c>
      <c r="E305" t="s">
        <v>173</v>
      </c>
      <c r="F305" s="9">
        <v>45995</v>
      </c>
    </row>
    <row r="306" spans="2:6">
      <c r="B306">
        <v>302</v>
      </c>
      <c r="C306" s="18" t="s">
        <v>521</v>
      </c>
      <c r="D306" s="7">
        <v>59</v>
      </c>
      <c r="E306" t="s">
        <v>173</v>
      </c>
      <c r="F306" s="20">
        <v>46001</v>
      </c>
    </row>
    <row r="307" spans="2:6">
      <c r="B307">
        <v>303</v>
      </c>
      <c r="C307" s="18" t="s">
        <v>522</v>
      </c>
      <c r="D307" s="7">
        <v>209</v>
      </c>
      <c r="E307" t="s">
        <v>173</v>
      </c>
      <c r="F307" s="20">
        <v>46001</v>
      </c>
    </row>
    <row r="308" spans="2:6">
      <c r="B308">
        <v>304</v>
      </c>
      <c r="C308" s="18" t="s">
        <v>523</v>
      </c>
      <c r="D308" s="7">
        <v>989</v>
      </c>
      <c r="E308" t="s">
        <v>173</v>
      </c>
      <c r="F308" s="20">
        <v>46001</v>
      </c>
    </row>
    <row r="309" spans="2:6">
      <c r="B309">
        <v>305</v>
      </c>
      <c r="C309" s="18" t="s">
        <v>524</v>
      </c>
      <c r="D309" s="7">
        <v>256</v>
      </c>
      <c r="E309" t="s">
        <v>173</v>
      </c>
      <c r="F309" s="20">
        <v>46001</v>
      </c>
    </row>
    <row r="310" spans="2:6">
      <c r="B310">
        <v>306</v>
      </c>
      <c r="C310" s="18" t="s">
        <v>525</v>
      </c>
      <c r="D310" s="7">
        <v>50</v>
      </c>
      <c r="E310" t="s">
        <v>173</v>
      </c>
      <c r="F310" s="20">
        <v>46001</v>
      </c>
    </row>
    <row r="311" spans="2:6">
      <c r="B311">
        <v>307</v>
      </c>
      <c r="C311" s="18" t="s">
        <v>526</v>
      </c>
      <c r="D311" s="7">
        <v>69</v>
      </c>
      <c r="E311" t="s">
        <v>173</v>
      </c>
      <c r="F311" s="20">
        <v>46001</v>
      </c>
    </row>
    <row r="312" spans="2:6">
      <c r="B312">
        <v>308</v>
      </c>
      <c r="C312" t="s">
        <v>527</v>
      </c>
      <c r="D312" s="7">
        <v>2100</v>
      </c>
      <c r="E312" t="s">
        <v>530</v>
      </c>
      <c r="F312" s="20">
        <v>46001</v>
      </c>
    </row>
    <row r="313" spans="2:6">
      <c r="B313">
        <v>309</v>
      </c>
      <c r="C313" t="s">
        <v>528</v>
      </c>
      <c r="D313" s="7">
        <v>380</v>
      </c>
      <c r="E313" t="s">
        <v>531</v>
      </c>
      <c r="F313" s="20">
        <v>46001</v>
      </c>
    </row>
    <row r="314" spans="2:6">
      <c r="B314">
        <v>310</v>
      </c>
      <c r="C314" t="s">
        <v>529</v>
      </c>
      <c r="D314" s="7">
        <v>220</v>
      </c>
      <c r="E314" t="s">
        <v>532</v>
      </c>
      <c r="F314" s="20">
        <v>46001</v>
      </c>
    </row>
    <row r="315" spans="2:6">
      <c r="B315">
        <v>311</v>
      </c>
      <c r="C315" s="18" t="s">
        <v>533</v>
      </c>
      <c r="D315" s="7">
        <v>158.31</v>
      </c>
      <c r="E315" t="s">
        <v>173</v>
      </c>
      <c r="F315" s="9">
        <v>46014</v>
      </c>
    </row>
    <row r="316" spans="2:6">
      <c r="B316">
        <v>312</v>
      </c>
      <c r="C316" s="18" t="s">
        <v>534</v>
      </c>
      <c r="D316" s="7">
        <v>367.2</v>
      </c>
      <c r="E316" t="s">
        <v>173</v>
      </c>
      <c r="F316" s="9">
        <v>46014</v>
      </c>
    </row>
    <row r="317" spans="2:6">
      <c r="B317">
        <v>313</v>
      </c>
      <c r="C317" s="18" t="s">
        <v>535</v>
      </c>
      <c r="D317" s="7">
        <v>167.68</v>
      </c>
      <c r="E317" t="s">
        <v>173</v>
      </c>
      <c r="F317" s="9">
        <v>46014</v>
      </c>
    </row>
    <row r="318" spans="2:6">
      <c r="B318">
        <v>314</v>
      </c>
      <c r="C318" s="18" t="s">
        <v>536</v>
      </c>
      <c r="D318" s="7">
        <v>550.80999999999995</v>
      </c>
      <c r="E318" t="s">
        <v>537</v>
      </c>
      <c r="F318" s="9">
        <v>46014</v>
      </c>
    </row>
    <row r="319" spans="2:6">
      <c r="B319">
        <v>315</v>
      </c>
      <c r="C319" t="s">
        <v>610</v>
      </c>
      <c r="D319" s="7">
        <v>125</v>
      </c>
      <c r="E319" t="s">
        <v>173</v>
      </c>
      <c r="F319" s="9">
        <v>46073</v>
      </c>
    </row>
    <row r="320" spans="2:6">
      <c r="B320">
        <v>316</v>
      </c>
      <c r="C320" t="s">
        <v>611</v>
      </c>
      <c r="D320" s="7">
        <v>209</v>
      </c>
      <c r="E320" t="s">
        <v>173</v>
      </c>
      <c r="F320" s="9">
        <v>46073</v>
      </c>
    </row>
    <row r="321" spans="2:6">
      <c r="B321">
        <v>317</v>
      </c>
      <c r="C321" t="s">
        <v>612</v>
      </c>
      <c r="D321" s="7">
        <v>138</v>
      </c>
      <c r="E321" t="s">
        <v>173</v>
      </c>
      <c r="F321" s="9">
        <v>46073</v>
      </c>
    </row>
    <row r="322" spans="2:6">
      <c r="B322">
        <v>318</v>
      </c>
      <c r="C322" t="s">
        <v>613</v>
      </c>
      <c r="D322" s="7">
        <v>539</v>
      </c>
      <c r="E322" t="s">
        <v>173</v>
      </c>
      <c r="F322" s="9">
        <v>46073</v>
      </c>
    </row>
    <row r="323" spans="2:6">
      <c r="B323">
        <v>319</v>
      </c>
      <c r="C323" t="s">
        <v>614</v>
      </c>
      <c r="D323" s="7">
        <v>479</v>
      </c>
      <c r="E323" t="s">
        <v>173</v>
      </c>
      <c r="F323" s="9">
        <v>46075</v>
      </c>
    </row>
    <row r="324" spans="2:6">
      <c r="B324">
        <v>320</v>
      </c>
      <c r="C324" t="s">
        <v>615</v>
      </c>
      <c r="D324" s="7">
        <v>839</v>
      </c>
      <c r="E324" t="s">
        <v>173</v>
      </c>
      <c r="F324" s="9">
        <v>46075</v>
      </c>
    </row>
    <row r="325" spans="2:6">
      <c r="B325">
        <v>321</v>
      </c>
      <c r="C325" t="s">
        <v>616</v>
      </c>
      <c r="D325" s="7">
        <v>2471</v>
      </c>
      <c r="E325" t="s">
        <v>621</v>
      </c>
      <c r="F325" s="9">
        <v>46071</v>
      </c>
    </row>
    <row r="326" spans="2:6">
      <c r="B326">
        <v>322</v>
      </c>
      <c r="C326" t="s">
        <v>617</v>
      </c>
      <c r="D326" s="7">
        <v>3700</v>
      </c>
      <c r="E326" t="s">
        <v>621</v>
      </c>
      <c r="F326" s="9">
        <v>46071</v>
      </c>
    </row>
    <row r="327" spans="2:6">
      <c r="B327">
        <v>323</v>
      </c>
      <c r="C327" t="s">
        <v>618</v>
      </c>
      <c r="D327" s="7">
        <v>473</v>
      </c>
      <c r="E327" t="s">
        <v>621</v>
      </c>
      <c r="F327" s="9">
        <v>46071</v>
      </c>
    </row>
    <row r="328" spans="2:6">
      <c r="B328">
        <v>324</v>
      </c>
      <c r="C328" t="s">
        <v>619</v>
      </c>
      <c r="D328" s="7">
        <v>2040</v>
      </c>
      <c r="E328" t="s">
        <v>621</v>
      </c>
      <c r="F328" s="9">
        <v>46070</v>
      </c>
    </row>
    <row r="329" spans="2:6">
      <c r="B329">
        <v>325</v>
      </c>
      <c r="C329" t="s">
        <v>620</v>
      </c>
      <c r="D329" s="7">
        <v>348</v>
      </c>
      <c r="E329" t="s">
        <v>621</v>
      </c>
      <c r="F329" s="9">
        <v>46070</v>
      </c>
    </row>
    <row r="330" spans="2:6">
      <c r="B330">
        <v>326</v>
      </c>
      <c r="C330" t="s">
        <v>622</v>
      </c>
      <c r="D330" s="7">
        <v>988</v>
      </c>
      <c r="E330" t="s">
        <v>621</v>
      </c>
      <c r="F330" s="9">
        <v>46084</v>
      </c>
    </row>
    <row r="331" spans="2:6">
      <c r="B331">
        <v>327</v>
      </c>
      <c r="C331" t="s">
        <v>647</v>
      </c>
      <c r="D331" s="7">
        <v>8000</v>
      </c>
      <c r="E331" t="s">
        <v>272</v>
      </c>
      <c r="F331" s="9">
        <v>46098</v>
      </c>
    </row>
    <row r="332" spans="2:6">
      <c r="B332">
        <v>328</v>
      </c>
      <c r="C332" t="s">
        <v>648</v>
      </c>
      <c r="D332" s="7">
        <v>1215</v>
      </c>
      <c r="E332" t="s">
        <v>621</v>
      </c>
      <c r="F332" s="9">
        <v>46085</v>
      </c>
    </row>
    <row r="333" spans="2:6">
      <c r="B333">
        <v>329</v>
      </c>
      <c r="C333" t="s">
        <v>649</v>
      </c>
      <c r="D333" s="7">
        <v>3275</v>
      </c>
      <c r="E333" t="s">
        <v>621</v>
      </c>
      <c r="F333" s="9">
        <v>46085</v>
      </c>
    </row>
    <row r="334" spans="2:6">
      <c r="B334">
        <v>330</v>
      </c>
      <c r="C334" t="s">
        <v>650</v>
      </c>
      <c r="D334" s="7">
        <v>677</v>
      </c>
      <c r="E334" t="s">
        <v>621</v>
      </c>
      <c r="F334" s="9">
        <v>46080</v>
      </c>
    </row>
    <row r="335" spans="2:6">
      <c r="B335">
        <v>331</v>
      </c>
      <c r="C335" t="s">
        <v>651</v>
      </c>
      <c r="D335" s="7">
        <v>1123</v>
      </c>
      <c r="E335" t="s">
        <v>621</v>
      </c>
      <c r="F335" s="9">
        <v>46079</v>
      </c>
    </row>
    <row r="336" spans="2:6">
      <c r="B336">
        <v>332</v>
      </c>
      <c r="C336" s="18" t="s">
        <v>652</v>
      </c>
      <c r="D336" s="7">
        <v>127.78</v>
      </c>
      <c r="E336" t="s">
        <v>173</v>
      </c>
      <c r="F336" s="9">
        <v>46099</v>
      </c>
    </row>
    <row r="337" spans="2:6">
      <c r="B337">
        <v>333</v>
      </c>
      <c r="C337" s="18" t="s">
        <v>653</v>
      </c>
      <c r="D337" s="7">
        <v>450</v>
      </c>
      <c r="E337" t="s">
        <v>173</v>
      </c>
      <c r="F337" s="9">
        <v>46099</v>
      </c>
    </row>
    <row r="338" spans="2:6">
      <c r="B338">
        <v>334</v>
      </c>
      <c r="C338" s="18" t="s">
        <v>654</v>
      </c>
      <c r="D338" s="7">
        <v>182</v>
      </c>
      <c r="E338" t="s">
        <v>173</v>
      </c>
      <c r="F338" s="9">
        <v>46099</v>
      </c>
    </row>
    <row r="339" spans="2:6">
      <c r="B339">
        <v>335</v>
      </c>
      <c r="C339" s="18" t="s">
        <v>655</v>
      </c>
      <c r="D339" s="7">
        <v>228.89</v>
      </c>
      <c r="E339" t="s">
        <v>173</v>
      </c>
      <c r="F339" s="9">
        <v>46099</v>
      </c>
    </row>
    <row r="340" spans="2:6">
      <c r="B340">
        <v>336</v>
      </c>
      <c r="C340" s="18" t="s">
        <v>656</v>
      </c>
      <c r="D340" s="7">
        <v>228.89</v>
      </c>
      <c r="E340" t="s">
        <v>173</v>
      </c>
      <c r="F340" s="9">
        <v>46099</v>
      </c>
    </row>
    <row r="341" spans="2:6">
      <c r="B341">
        <v>337</v>
      </c>
      <c r="C341" s="18" t="s">
        <v>657</v>
      </c>
      <c r="D341" s="7">
        <v>102</v>
      </c>
      <c r="E341" t="s">
        <v>173</v>
      </c>
      <c r="F341" s="9">
        <v>46101</v>
      </c>
    </row>
    <row r="342" spans="2:6">
      <c r="B342">
        <v>338</v>
      </c>
      <c r="C342" s="18" t="s">
        <v>658</v>
      </c>
      <c r="D342" s="7">
        <v>116.15</v>
      </c>
      <c r="E342" t="s">
        <v>173</v>
      </c>
      <c r="F342" s="9">
        <v>46101</v>
      </c>
    </row>
    <row r="343" spans="2:6">
      <c r="B343">
        <v>339</v>
      </c>
      <c r="C343" s="18" t="s">
        <v>659</v>
      </c>
      <c r="D343" s="7">
        <v>224.2</v>
      </c>
      <c r="E343" t="s">
        <v>173</v>
      </c>
      <c r="F343" s="9">
        <v>46101</v>
      </c>
    </row>
    <row r="344" spans="2:6">
      <c r="B344">
        <v>340</v>
      </c>
      <c r="C344" t="s">
        <v>661</v>
      </c>
      <c r="D344" s="7">
        <v>845</v>
      </c>
      <c r="E344" t="s">
        <v>660</v>
      </c>
      <c r="F344" s="9">
        <v>46105</v>
      </c>
    </row>
    <row r="345" spans="2:6">
      <c r="B345">
        <v>341</v>
      </c>
      <c r="C345" t="s">
        <v>662</v>
      </c>
      <c r="D345" s="7">
        <v>898</v>
      </c>
      <c r="E345" t="s">
        <v>159</v>
      </c>
      <c r="F345" s="9">
        <v>46105</v>
      </c>
    </row>
    <row r="346" spans="2:6">
      <c r="B346">
        <v>342</v>
      </c>
      <c r="C346" t="s">
        <v>663</v>
      </c>
      <c r="D346" s="7">
        <v>444</v>
      </c>
      <c r="E346" t="s">
        <v>173</v>
      </c>
      <c r="F346" s="9">
        <v>46106</v>
      </c>
    </row>
    <row r="347" spans="2:6">
      <c r="B347">
        <v>343</v>
      </c>
      <c r="C347" t="s">
        <v>664</v>
      </c>
      <c r="D347" s="7">
        <v>179</v>
      </c>
      <c r="E347" t="s">
        <v>173</v>
      </c>
      <c r="F347" s="9">
        <v>46107</v>
      </c>
    </row>
    <row r="348" spans="2:6">
      <c r="B348">
        <v>344</v>
      </c>
      <c r="C348" t="s">
        <v>665</v>
      </c>
      <c r="D348" s="7">
        <v>98</v>
      </c>
      <c r="E348" t="s">
        <v>173</v>
      </c>
      <c r="F348" s="9">
        <v>46107</v>
      </c>
    </row>
    <row r="349" spans="2:6">
      <c r="B349">
        <v>345</v>
      </c>
      <c r="C349" t="s">
        <v>666</v>
      </c>
      <c r="D349" s="7">
        <v>374</v>
      </c>
      <c r="E349" t="s">
        <v>173</v>
      </c>
      <c r="F349" s="9">
        <v>46107</v>
      </c>
    </row>
    <row r="350" spans="2:6">
      <c r="B350">
        <v>346</v>
      </c>
      <c r="C350" t="s">
        <v>667</v>
      </c>
      <c r="D350" s="7">
        <v>271</v>
      </c>
      <c r="E350" t="s">
        <v>173</v>
      </c>
      <c r="F350" s="9">
        <v>46110</v>
      </c>
    </row>
    <row r="351" spans="2:6">
      <c r="B351">
        <v>347</v>
      </c>
      <c r="C351" t="s">
        <v>668</v>
      </c>
      <c r="D351" s="7">
        <v>57</v>
      </c>
      <c r="E351" t="s">
        <v>173</v>
      </c>
      <c r="F351" s="9">
        <v>46113</v>
      </c>
    </row>
    <row r="352" spans="2:6">
      <c r="B352">
        <v>348</v>
      </c>
      <c r="C352" t="s">
        <v>669</v>
      </c>
      <c r="D352" s="7">
        <v>1100</v>
      </c>
      <c r="E352" t="s">
        <v>173</v>
      </c>
      <c r="F352" s="9">
        <v>46113</v>
      </c>
    </row>
    <row r="353" spans="2:9">
      <c r="B353">
        <v>349</v>
      </c>
      <c r="C353" t="s">
        <v>670</v>
      </c>
      <c r="D353" s="7">
        <v>756</v>
      </c>
      <c r="E353" t="s">
        <v>173</v>
      </c>
      <c r="F353" s="9">
        <v>46113</v>
      </c>
    </row>
    <row r="354" spans="2:9">
      <c r="B354">
        <v>350</v>
      </c>
      <c r="C354" t="s">
        <v>671</v>
      </c>
      <c r="D354" s="7">
        <v>358</v>
      </c>
      <c r="E354" t="s">
        <v>173</v>
      </c>
      <c r="F354" s="9">
        <v>46113</v>
      </c>
    </row>
    <row r="355" spans="2:9">
      <c r="B355">
        <v>351</v>
      </c>
      <c r="C355" t="s">
        <v>187</v>
      </c>
      <c r="D355" s="7">
        <v>79</v>
      </c>
      <c r="E355" t="s">
        <v>173</v>
      </c>
      <c r="F355" s="9">
        <v>46113</v>
      </c>
    </row>
    <row r="356" spans="2:9">
      <c r="B356">
        <v>352</v>
      </c>
      <c r="C356" t="s">
        <v>44</v>
      </c>
      <c r="D356" s="7">
        <v>4000</v>
      </c>
      <c r="E356" t="s">
        <v>672</v>
      </c>
      <c r="F356" s="9">
        <v>46113</v>
      </c>
    </row>
    <row r="357" spans="2:9">
      <c r="B357">
        <v>353</v>
      </c>
      <c r="C357" s="54" t="s">
        <v>674</v>
      </c>
      <c r="D357" s="7">
        <v>6138</v>
      </c>
      <c r="E357" s="52" t="s">
        <v>673</v>
      </c>
      <c r="F357" s="9">
        <v>46119</v>
      </c>
      <c r="I357" s="7"/>
    </row>
    <row r="358" spans="2:9">
      <c r="B358">
        <v>354</v>
      </c>
      <c r="C358" s="54" t="s">
        <v>675</v>
      </c>
      <c r="D358" s="7">
        <v>8890</v>
      </c>
      <c r="E358" s="52" t="s">
        <v>673</v>
      </c>
      <c r="F358" s="9">
        <v>46119</v>
      </c>
    </row>
    <row r="359" spans="2:9">
      <c r="B359">
        <v>355</v>
      </c>
      <c r="C359" s="54" t="s">
        <v>676</v>
      </c>
      <c r="D359" s="7">
        <v>17960</v>
      </c>
      <c r="E359" s="52" t="s">
        <v>673</v>
      </c>
      <c r="F359" s="9">
        <v>46119</v>
      </c>
    </row>
    <row r="360" spans="2:9">
      <c r="B360">
        <v>356</v>
      </c>
      <c r="C360" s="53" t="s">
        <v>677</v>
      </c>
      <c r="D360" s="7">
        <v>529</v>
      </c>
      <c r="E360" s="52" t="s">
        <v>673</v>
      </c>
      <c r="F360" s="9">
        <v>46119</v>
      </c>
    </row>
    <row r="361" spans="2:9">
      <c r="B361">
        <v>357</v>
      </c>
      <c r="C361" t="s">
        <v>678</v>
      </c>
      <c r="D361" s="7">
        <v>1092.22</v>
      </c>
      <c r="E361" t="s">
        <v>681</v>
      </c>
      <c r="F361" s="9">
        <v>46123</v>
      </c>
    </row>
    <row r="362" spans="2:9">
      <c r="B362">
        <v>358</v>
      </c>
      <c r="C362" t="s">
        <v>679</v>
      </c>
      <c r="D362" s="7">
        <v>16.489999999999998</v>
      </c>
      <c r="E362" t="s">
        <v>681</v>
      </c>
      <c r="F362" s="9">
        <v>46123</v>
      </c>
    </row>
    <row r="363" spans="2:9">
      <c r="B363">
        <v>359</v>
      </c>
      <c r="C363" t="s">
        <v>680</v>
      </c>
      <c r="D363" s="7">
        <v>183</v>
      </c>
      <c r="E363" t="s">
        <v>681</v>
      </c>
      <c r="F363" s="9">
        <v>46123</v>
      </c>
    </row>
    <row r="364" spans="2:9">
      <c r="B364">
        <v>360</v>
      </c>
      <c r="C364" t="s">
        <v>682</v>
      </c>
      <c r="D364" s="7">
        <v>792</v>
      </c>
      <c r="E364" t="s">
        <v>497</v>
      </c>
      <c r="F364" s="9">
        <v>46124</v>
      </c>
    </row>
    <row r="365" spans="2:9">
      <c r="B365">
        <v>361</v>
      </c>
      <c r="C365" t="s">
        <v>683</v>
      </c>
      <c r="D365" s="7">
        <v>136</v>
      </c>
      <c r="E365" t="s">
        <v>497</v>
      </c>
      <c r="F365" s="9">
        <v>46124</v>
      </c>
    </row>
    <row r="366" spans="2:9">
      <c r="B366">
        <v>362</v>
      </c>
      <c r="C366" t="s">
        <v>684</v>
      </c>
      <c r="D366" s="7">
        <v>101</v>
      </c>
      <c r="E366" t="s">
        <v>497</v>
      </c>
      <c r="F366" s="9">
        <v>46124</v>
      </c>
    </row>
    <row r="367" spans="2:9">
      <c r="B367">
        <v>363</v>
      </c>
      <c r="C367" t="s">
        <v>685</v>
      </c>
      <c r="D367" s="7">
        <v>72</v>
      </c>
      <c r="E367" t="s">
        <v>497</v>
      </c>
      <c r="F367" s="9">
        <v>46124</v>
      </c>
    </row>
    <row r="368" spans="2:9">
      <c r="B368">
        <v>364</v>
      </c>
      <c r="C368" t="s">
        <v>686</v>
      </c>
      <c r="D368" s="7">
        <v>164</v>
      </c>
      <c r="E368" t="s">
        <v>497</v>
      </c>
      <c r="F368" s="9">
        <v>46127</v>
      </c>
    </row>
    <row r="369" spans="2:6">
      <c r="B369">
        <v>365</v>
      </c>
      <c r="C369" t="s">
        <v>687</v>
      </c>
      <c r="D369" s="7">
        <v>162</v>
      </c>
      <c r="E369" t="s">
        <v>497</v>
      </c>
      <c r="F369" s="9">
        <v>46127</v>
      </c>
    </row>
    <row r="370" spans="2:6">
      <c r="B370">
        <v>366</v>
      </c>
      <c r="C370" t="s">
        <v>709</v>
      </c>
      <c r="D370" s="7">
        <v>42510</v>
      </c>
      <c r="E370" t="s">
        <v>467</v>
      </c>
      <c r="F370" s="9">
        <v>46132</v>
      </c>
    </row>
    <row r="371" spans="2:6">
      <c r="B371">
        <v>367</v>
      </c>
      <c r="C371" t="s">
        <v>710</v>
      </c>
      <c r="D371" s="7">
        <v>39000</v>
      </c>
      <c r="E371" t="s">
        <v>467</v>
      </c>
      <c r="F371" s="9">
        <v>46132</v>
      </c>
    </row>
    <row r="372" spans="2:6">
      <c r="B372">
        <v>368</v>
      </c>
      <c r="C372" t="s">
        <v>711</v>
      </c>
      <c r="D372" s="7">
        <v>3510</v>
      </c>
      <c r="E372" t="s">
        <v>467</v>
      </c>
      <c r="F372" s="9">
        <v>46132</v>
      </c>
    </row>
    <row r="373" spans="2:6">
      <c r="B373">
        <v>369</v>
      </c>
      <c r="C373" t="s">
        <v>712</v>
      </c>
      <c r="D373" s="7">
        <v>20280</v>
      </c>
      <c r="E373" t="s">
        <v>467</v>
      </c>
      <c r="F373" s="9">
        <v>46132</v>
      </c>
    </row>
    <row r="374" spans="2:6">
      <c r="B374">
        <v>370</v>
      </c>
      <c r="C374" t="s">
        <v>714</v>
      </c>
      <c r="D374" s="7">
        <v>6000</v>
      </c>
      <c r="E374" t="s">
        <v>713</v>
      </c>
      <c r="F374" s="9">
        <v>46132</v>
      </c>
    </row>
    <row r="375" spans="2:6">
      <c r="B375">
        <v>371</v>
      </c>
      <c r="C375" t="s">
        <v>715</v>
      </c>
      <c r="D375" s="7">
        <v>259.95999999999998</v>
      </c>
      <c r="E375" t="s">
        <v>211</v>
      </c>
      <c r="F375" s="9">
        <v>46138</v>
      </c>
    </row>
    <row r="376" spans="2:6">
      <c r="B376">
        <v>372</v>
      </c>
      <c r="C376" t="s">
        <v>716</v>
      </c>
      <c r="D376" s="7">
        <v>183</v>
      </c>
      <c r="E376" t="s">
        <v>211</v>
      </c>
      <c r="F376" s="9">
        <v>46138</v>
      </c>
    </row>
    <row r="377" spans="2:6">
      <c r="B377">
        <v>373</v>
      </c>
      <c r="C377" t="s">
        <v>717</v>
      </c>
      <c r="D377" s="7">
        <v>251.23</v>
      </c>
      <c r="E377" t="s">
        <v>211</v>
      </c>
      <c r="F377" s="9">
        <v>46138</v>
      </c>
    </row>
    <row r="378" spans="2:6">
      <c r="B378">
        <v>374</v>
      </c>
      <c r="C378" t="s">
        <v>718</v>
      </c>
      <c r="D378" s="7">
        <v>1092.22</v>
      </c>
      <c r="E378" t="s">
        <v>211</v>
      </c>
      <c r="F378" s="9">
        <v>46138</v>
      </c>
    </row>
    <row r="379" spans="2:6">
      <c r="B379">
        <v>375</v>
      </c>
      <c r="C379" t="s">
        <v>654</v>
      </c>
      <c r="D379" s="7">
        <v>182.22</v>
      </c>
      <c r="E379" t="s">
        <v>173</v>
      </c>
      <c r="F379" s="9">
        <v>46138</v>
      </c>
    </row>
    <row r="380" spans="2:6">
      <c r="B380">
        <v>376</v>
      </c>
      <c r="C380" t="s">
        <v>525</v>
      </c>
      <c r="D380" s="7">
        <v>46.02</v>
      </c>
      <c r="E380" t="s">
        <v>173</v>
      </c>
      <c r="F380" s="9">
        <v>46138</v>
      </c>
    </row>
    <row r="381" spans="2:6">
      <c r="B381">
        <v>377</v>
      </c>
      <c r="C381" t="s">
        <v>719</v>
      </c>
      <c r="D381" s="7">
        <v>108.6</v>
      </c>
      <c r="E381" t="s">
        <v>173</v>
      </c>
      <c r="F381" s="9">
        <v>46138</v>
      </c>
    </row>
    <row r="382" spans="2:6">
      <c r="B382">
        <v>378</v>
      </c>
      <c r="C382" t="s">
        <v>720</v>
      </c>
      <c r="D382" s="7">
        <v>323.95999999999998</v>
      </c>
      <c r="E382" t="s">
        <v>173</v>
      </c>
      <c r="F382" s="9">
        <v>46138</v>
      </c>
    </row>
    <row r="383" spans="2:6">
      <c r="B383">
        <v>379</v>
      </c>
      <c r="C383" t="s">
        <v>722</v>
      </c>
      <c r="D383" s="7">
        <v>175</v>
      </c>
      <c r="E383" t="s">
        <v>721</v>
      </c>
      <c r="F383" s="9">
        <v>46139</v>
      </c>
    </row>
    <row r="384" spans="2:6">
      <c r="B384">
        <v>380</v>
      </c>
      <c r="C384" t="s">
        <v>723</v>
      </c>
      <c r="D384" s="7">
        <v>109</v>
      </c>
      <c r="E384" t="s">
        <v>721</v>
      </c>
      <c r="F384" s="9">
        <v>46139</v>
      </c>
    </row>
    <row r="385" spans="2:6">
      <c r="B385">
        <v>381</v>
      </c>
      <c r="C385" t="s">
        <v>724</v>
      </c>
      <c r="D385" s="7">
        <v>171</v>
      </c>
      <c r="E385" t="s">
        <v>721</v>
      </c>
      <c r="F385" s="9">
        <v>46139</v>
      </c>
    </row>
    <row r="386" spans="2:6">
      <c r="B386">
        <v>382</v>
      </c>
      <c r="C386" t="s">
        <v>725</v>
      </c>
      <c r="D386" s="7">
        <v>196</v>
      </c>
      <c r="E386" t="s">
        <v>721</v>
      </c>
      <c r="F386" s="9">
        <v>46139</v>
      </c>
    </row>
    <row r="387" spans="2:6">
      <c r="B387">
        <v>383</v>
      </c>
      <c r="C387" t="s">
        <v>726</v>
      </c>
      <c r="D387" s="7">
        <v>480.8</v>
      </c>
      <c r="E387" t="s">
        <v>173</v>
      </c>
      <c r="F387" s="9">
        <v>46144</v>
      </c>
    </row>
    <row r="388" spans="2:6">
      <c r="B388">
        <v>384</v>
      </c>
      <c r="C388" t="s">
        <v>727</v>
      </c>
      <c r="D388" s="7">
        <v>182.47</v>
      </c>
      <c r="E388" t="s">
        <v>173</v>
      </c>
      <c r="F388" s="9">
        <v>46144</v>
      </c>
    </row>
    <row r="389" spans="2:6">
      <c r="B389">
        <v>385</v>
      </c>
      <c r="C389" t="s">
        <v>728</v>
      </c>
      <c r="D389" s="7">
        <v>547.41</v>
      </c>
      <c r="E389" t="s">
        <v>173</v>
      </c>
      <c r="F389" s="9">
        <v>46144</v>
      </c>
    </row>
    <row r="390" spans="2:6">
      <c r="B390">
        <v>386</v>
      </c>
      <c r="C390" t="s">
        <v>729</v>
      </c>
      <c r="D390" s="7">
        <v>29640</v>
      </c>
      <c r="E390" t="s">
        <v>730</v>
      </c>
      <c r="F390" s="9">
        <v>46147</v>
      </c>
    </row>
    <row r="391" spans="2:6">
      <c r="B391">
        <v>387</v>
      </c>
      <c r="C391" t="s">
        <v>731</v>
      </c>
      <c r="D391" s="7">
        <v>1560</v>
      </c>
      <c r="E391" t="s">
        <v>732</v>
      </c>
      <c r="F391" s="9">
        <v>46147</v>
      </c>
    </row>
    <row r="392" spans="2:6">
      <c r="B392">
        <v>388</v>
      </c>
      <c r="C392" t="s">
        <v>733</v>
      </c>
      <c r="D392" s="7">
        <v>3000</v>
      </c>
      <c r="E392" t="s">
        <v>119</v>
      </c>
      <c r="F392" s="9">
        <v>46147</v>
      </c>
    </row>
    <row r="393" spans="2:6">
      <c r="B393">
        <v>389</v>
      </c>
      <c r="C393" t="s">
        <v>734</v>
      </c>
      <c r="D393" s="7">
        <v>57.94</v>
      </c>
      <c r="E393" t="s">
        <v>173</v>
      </c>
      <c r="F393" s="9">
        <v>46149</v>
      </c>
    </row>
    <row r="394" spans="2:6">
      <c r="B394">
        <v>390</v>
      </c>
      <c r="C394" t="s">
        <v>735</v>
      </c>
      <c r="D394" s="7">
        <v>98.67</v>
      </c>
      <c r="E394" t="s">
        <v>173</v>
      </c>
      <c r="F394" s="9">
        <v>46149</v>
      </c>
    </row>
    <row r="395" spans="2:6">
      <c r="B395">
        <v>391</v>
      </c>
      <c r="C395" t="s">
        <v>736</v>
      </c>
      <c r="D395" s="7">
        <v>152.08000000000001</v>
      </c>
      <c r="E395" t="s">
        <v>173</v>
      </c>
      <c r="F395" s="9">
        <v>46149</v>
      </c>
    </row>
    <row r="396" spans="2:6">
      <c r="B396">
        <v>392</v>
      </c>
      <c r="C396" t="s">
        <v>737</v>
      </c>
      <c r="D396" s="7">
        <v>207.31</v>
      </c>
      <c r="E396" t="s">
        <v>173</v>
      </c>
      <c r="F396" s="9">
        <v>46149</v>
      </c>
    </row>
    <row r="397" spans="2:6">
      <c r="B397">
        <v>393</v>
      </c>
      <c r="C397" s="18" t="s">
        <v>738</v>
      </c>
      <c r="D397" s="7">
        <v>899</v>
      </c>
      <c r="E397" t="s">
        <v>173</v>
      </c>
      <c r="F397" s="9">
        <v>46164</v>
      </c>
    </row>
    <row r="398" spans="2:6">
      <c r="B398">
        <v>394</v>
      </c>
      <c r="C398" t="s">
        <v>739</v>
      </c>
      <c r="D398" s="7">
        <v>1196</v>
      </c>
      <c r="E398" t="s">
        <v>173</v>
      </c>
      <c r="F398" s="9">
        <v>46164</v>
      </c>
    </row>
    <row r="399" spans="2:6">
      <c r="B399">
        <v>395</v>
      </c>
      <c r="C399" s="18" t="s">
        <v>740</v>
      </c>
      <c r="D399" s="7">
        <v>238</v>
      </c>
      <c r="E399" t="s">
        <v>173</v>
      </c>
      <c r="F399" s="9">
        <v>46164</v>
      </c>
    </row>
    <row r="400" spans="2:6">
      <c r="B400">
        <v>396</v>
      </c>
      <c r="C400" t="s">
        <v>741</v>
      </c>
      <c r="D400" s="7">
        <v>9164.33</v>
      </c>
      <c r="E400" t="s">
        <v>173</v>
      </c>
      <c r="F400" s="9">
        <v>46164</v>
      </c>
    </row>
    <row r="401" spans="2:6">
      <c r="B401">
        <v>397</v>
      </c>
      <c r="C401" t="s">
        <v>742</v>
      </c>
      <c r="D401" s="7">
        <v>8507.39</v>
      </c>
      <c r="E401" t="s">
        <v>173</v>
      </c>
      <c r="F401" s="9">
        <v>46164</v>
      </c>
    </row>
    <row r="402" spans="2:6">
      <c r="B402">
        <v>398</v>
      </c>
      <c r="C402" t="s">
        <v>743</v>
      </c>
      <c r="D402" s="7">
        <v>890.85</v>
      </c>
      <c r="E402" t="s">
        <v>173</v>
      </c>
      <c r="F402" s="9">
        <v>46164</v>
      </c>
    </row>
    <row r="403" spans="2:6">
      <c r="B403">
        <v>399</v>
      </c>
      <c r="C403" s="18" t="s">
        <v>744</v>
      </c>
      <c r="D403" s="7">
        <v>1570.68</v>
      </c>
      <c r="E403" t="s">
        <v>173</v>
      </c>
      <c r="F403" s="9">
        <v>46164</v>
      </c>
    </row>
    <row r="404" spans="2:6">
      <c r="B404">
        <v>400</v>
      </c>
      <c r="C404" s="18" t="s">
        <v>745</v>
      </c>
      <c r="D404" s="7">
        <v>2780.06</v>
      </c>
      <c r="E404" t="s">
        <v>173</v>
      </c>
      <c r="F404" s="9">
        <v>46164</v>
      </c>
    </row>
    <row r="405" spans="2:6">
      <c r="B405">
        <v>401</v>
      </c>
      <c r="C405" t="s">
        <v>746</v>
      </c>
      <c r="D405" s="7">
        <v>1570.7</v>
      </c>
      <c r="E405" t="s">
        <v>173</v>
      </c>
      <c r="F405" s="9">
        <v>46164</v>
      </c>
    </row>
    <row r="406" spans="2:6">
      <c r="B406">
        <v>402</v>
      </c>
      <c r="C406" s="18" t="s">
        <v>426</v>
      </c>
      <c r="D406" s="7">
        <v>2030</v>
      </c>
      <c r="E406" t="s">
        <v>173</v>
      </c>
      <c r="F406" s="9">
        <v>46164</v>
      </c>
    </row>
    <row r="407" spans="2:6">
      <c r="B407">
        <v>403</v>
      </c>
      <c r="C407" t="s">
        <v>747</v>
      </c>
      <c r="D407" s="7">
        <v>1900</v>
      </c>
      <c r="E407" t="s">
        <v>748</v>
      </c>
      <c r="F407" s="9">
        <v>46164</v>
      </c>
    </row>
    <row r="408" spans="2:6">
      <c r="B408">
        <v>404</v>
      </c>
      <c r="C408" s="18" t="s">
        <v>749</v>
      </c>
      <c r="D408" s="7">
        <v>277.24</v>
      </c>
      <c r="E408" t="s">
        <v>173</v>
      </c>
      <c r="F408" s="9">
        <v>46165</v>
      </c>
    </row>
    <row r="409" spans="2:6">
      <c r="B409">
        <v>405</v>
      </c>
      <c r="C409" s="18" t="s">
        <v>750</v>
      </c>
      <c r="D409" s="7">
        <v>110.62</v>
      </c>
      <c r="E409" t="s">
        <v>173</v>
      </c>
      <c r="F409" s="9">
        <v>46165</v>
      </c>
    </row>
    <row r="410" spans="2:6">
      <c r="B410">
        <v>406</v>
      </c>
      <c r="C410" t="s">
        <v>751</v>
      </c>
      <c r="D410" s="7">
        <v>7414</v>
      </c>
      <c r="E410" t="s">
        <v>753</v>
      </c>
      <c r="F410" s="9">
        <v>46165</v>
      </c>
    </row>
    <row r="411" spans="2:6">
      <c r="B411">
        <v>407</v>
      </c>
      <c r="C411" t="s">
        <v>752</v>
      </c>
      <c r="D411" s="7">
        <v>81</v>
      </c>
      <c r="E411" t="s">
        <v>753</v>
      </c>
      <c r="F411" s="9">
        <v>46165</v>
      </c>
    </row>
    <row r="412" spans="2:6">
      <c r="B412">
        <v>408</v>
      </c>
      <c r="C412" t="s">
        <v>209</v>
      </c>
      <c r="D412" s="7">
        <v>670</v>
      </c>
      <c r="E412" t="s">
        <v>753</v>
      </c>
      <c r="F412" s="9">
        <v>46165</v>
      </c>
    </row>
    <row r="413" spans="2:6">
      <c r="B413">
        <v>409</v>
      </c>
      <c r="C413" t="s">
        <v>754</v>
      </c>
      <c r="D413" s="7">
        <v>548.04999999999995</v>
      </c>
      <c r="E413" t="s">
        <v>211</v>
      </c>
      <c r="F413" s="9">
        <v>46165</v>
      </c>
    </row>
    <row r="414" spans="2:6">
      <c r="B414">
        <v>410</v>
      </c>
      <c r="C414" t="s">
        <v>755</v>
      </c>
      <c r="D414" s="7">
        <v>703.25</v>
      </c>
      <c r="E414" t="s">
        <v>211</v>
      </c>
      <c r="F414" s="9">
        <v>46165</v>
      </c>
    </row>
    <row r="415" spans="2:6">
      <c r="B415">
        <v>411</v>
      </c>
      <c r="C415" t="s">
        <v>756</v>
      </c>
      <c r="D415" s="7">
        <v>960.3</v>
      </c>
      <c r="E415" t="s">
        <v>211</v>
      </c>
      <c r="F415" s="9">
        <v>46165</v>
      </c>
    </row>
    <row r="416" spans="2:6">
      <c r="B416">
        <v>412</v>
      </c>
      <c r="C416" t="s">
        <v>757</v>
      </c>
      <c r="D416" s="7">
        <v>348.23</v>
      </c>
      <c r="E416" t="s">
        <v>211</v>
      </c>
      <c r="F416" s="9">
        <v>46165</v>
      </c>
    </row>
    <row r="417" spans="2:6">
      <c r="B417">
        <v>413</v>
      </c>
      <c r="C417" t="s">
        <v>758</v>
      </c>
      <c r="D417" s="7">
        <v>3841.2</v>
      </c>
      <c r="E417" t="s">
        <v>211</v>
      </c>
      <c r="F417" s="9">
        <v>46165</v>
      </c>
    </row>
    <row r="418" spans="2:6">
      <c r="B418">
        <v>414</v>
      </c>
      <c r="C418" t="s">
        <v>759</v>
      </c>
      <c r="D418" s="7">
        <v>192.06</v>
      </c>
      <c r="E418" t="s">
        <v>211</v>
      </c>
      <c r="F418" s="9">
        <v>46165</v>
      </c>
    </row>
    <row r="419" spans="2:6">
      <c r="B419">
        <v>415</v>
      </c>
      <c r="C419" t="s">
        <v>760</v>
      </c>
      <c r="D419" s="7">
        <v>1203.43</v>
      </c>
      <c r="E419" t="s">
        <v>173</v>
      </c>
      <c r="F419" s="9">
        <v>46168</v>
      </c>
    </row>
    <row r="420" spans="2:6">
      <c r="B420">
        <v>416</v>
      </c>
      <c r="C420" t="s">
        <v>761</v>
      </c>
      <c r="D420" s="7">
        <v>649.45000000000005</v>
      </c>
      <c r="E420" t="s">
        <v>173</v>
      </c>
      <c r="F420" s="9">
        <v>46168</v>
      </c>
    </row>
    <row r="421" spans="2:6">
      <c r="B421">
        <v>417</v>
      </c>
      <c r="C421" t="s">
        <v>762</v>
      </c>
      <c r="D421" s="7">
        <v>246.12</v>
      </c>
      <c r="E421" t="s">
        <v>173</v>
      </c>
      <c r="F421" s="9">
        <v>46168</v>
      </c>
    </row>
    <row r="422" spans="2:6">
      <c r="B422">
        <v>418</v>
      </c>
      <c r="C422" t="s">
        <v>763</v>
      </c>
      <c r="D422" s="7">
        <v>384.89</v>
      </c>
      <c r="E422" t="s">
        <v>173</v>
      </c>
      <c r="F422" s="9">
        <v>46169</v>
      </c>
    </row>
    <row r="423" spans="2:6">
      <c r="B423">
        <v>419</v>
      </c>
      <c r="C423" t="s">
        <v>764</v>
      </c>
      <c r="D423" s="7">
        <v>257.56</v>
      </c>
      <c r="E423" t="s">
        <v>173</v>
      </c>
      <c r="F423" s="9">
        <v>46169</v>
      </c>
    </row>
    <row r="424" spans="2:6">
      <c r="B424">
        <v>420</v>
      </c>
      <c r="C424" t="s">
        <v>765</v>
      </c>
      <c r="D424" s="7">
        <v>622.17999999999995</v>
      </c>
      <c r="E424" t="s">
        <v>173</v>
      </c>
      <c r="F424" s="9">
        <v>46169</v>
      </c>
    </row>
    <row r="425" spans="2:6">
      <c r="B425">
        <v>421</v>
      </c>
      <c r="C425" t="s">
        <v>766</v>
      </c>
      <c r="D425" s="7">
        <v>120.58</v>
      </c>
      <c r="E425" t="s">
        <v>173</v>
      </c>
      <c r="F425" s="9">
        <v>46169</v>
      </c>
    </row>
    <row r="426" spans="2:6">
      <c r="B426">
        <v>422</v>
      </c>
      <c r="C426" t="s">
        <v>767</v>
      </c>
      <c r="D426" s="7">
        <v>192.94</v>
      </c>
      <c r="E426" t="s">
        <v>173</v>
      </c>
      <c r="F426" s="9">
        <v>46169</v>
      </c>
    </row>
    <row r="427" spans="2:6">
      <c r="B427">
        <v>423</v>
      </c>
      <c r="C427" t="s">
        <v>768</v>
      </c>
      <c r="D427" s="7">
        <v>336.65</v>
      </c>
      <c r="E427" t="s">
        <v>173</v>
      </c>
      <c r="F427" s="9">
        <v>46169</v>
      </c>
    </row>
    <row r="428" spans="2:6">
      <c r="B428">
        <v>424</v>
      </c>
      <c r="C428" t="s">
        <v>769</v>
      </c>
      <c r="D428" s="7">
        <v>376.2</v>
      </c>
      <c r="E428" t="s">
        <v>173</v>
      </c>
      <c r="F428" s="9">
        <v>46169</v>
      </c>
    </row>
    <row r="429" spans="2:6">
      <c r="B429">
        <v>425</v>
      </c>
      <c r="C429" t="s">
        <v>770</v>
      </c>
      <c r="D429" s="7">
        <v>399</v>
      </c>
      <c r="E429" t="s">
        <v>211</v>
      </c>
      <c r="F429" s="9">
        <v>46170</v>
      </c>
    </row>
    <row r="430" spans="2:6">
      <c r="B430">
        <v>426</v>
      </c>
      <c r="C430" t="s">
        <v>771</v>
      </c>
      <c r="D430" s="7">
        <v>1250</v>
      </c>
      <c r="E430" t="s">
        <v>211</v>
      </c>
      <c r="F430" s="9">
        <v>46170</v>
      </c>
    </row>
    <row r="431" spans="2:6">
      <c r="B431">
        <v>427</v>
      </c>
      <c r="C431" t="s">
        <v>772</v>
      </c>
      <c r="D431" s="7">
        <v>500</v>
      </c>
      <c r="E431" t="s">
        <v>211</v>
      </c>
      <c r="F431" s="9">
        <v>46170</v>
      </c>
    </row>
    <row r="432" spans="2:6">
      <c r="B432">
        <v>428</v>
      </c>
      <c r="C432" t="s">
        <v>739</v>
      </c>
      <c r="D432" s="7">
        <f xml:space="preserve"> 290.4 * 4</f>
        <v>1161.5999999999999</v>
      </c>
      <c r="E432" t="s">
        <v>173</v>
      </c>
      <c r="F432" s="9">
        <v>46173</v>
      </c>
    </row>
    <row r="433" spans="2:6">
      <c r="B433">
        <v>429</v>
      </c>
      <c r="C433" t="s">
        <v>773</v>
      </c>
      <c r="D433" s="7">
        <f>28.17*4</f>
        <v>112.68</v>
      </c>
      <c r="E433" t="s">
        <v>173</v>
      </c>
      <c r="F433" s="9">
        <v>46173</v>
      </c>
    </row>
    <row r="434" spans="2:6">
      <c r="B434">
        <v>430</v>
      </c>
      <c r="C434" t="s">
        <v>774</v>
      </c>
      <c r="D434" s="7">
        <f>105.87*4</f>
        <v>423.48</v>
      </c>
      <c r="E434" t="s">
        <v>173</v>
      </c>
      <c r="F434" s="9">
        <v>46173</v>
      </c>
    </row>
    <row r="435" spans="2:6">
      <c r="B435">
        <v>431</v>
      </c>
      <c r="C435" s="18" t="s">
        <v>440</v>
      </c>
      <c r="D435" s="7">
        <v>290.39999999999998</v>
      </c>
      <c r="E435" t="s">
        <v>173</v>
      </c>
      <c r="F435" s="9">
        <v>46173</v>
      </c>
    </row>
    <row r="436" spans="2:6">
      <c r="B436">
        <v>432</v>
      </c>
      <c r="C436" s="18" t="s">
        <v>775</v>
      </c>
      <c r="D436" s="7">
        <f>(13+18)*34.96</f>
        <v>1083.76</v>
      </c>
      <c r="E436" t="s">
        <v>173</v>
      </c>
      <c r="F436" s="9">
        <v>46173</v>
      </c>
    </row>
    <row r="437" spans="2:6">
      <c r="B437">
        <v>433</v>
      </c>
      <c r="C437" t="s">
        <v>777</v>
      </c>
      <c r="D437" s="7">
        <v>441993.2</v>
      </c>
      <c r="E437" t="s">
        <v>776</v>
      </c>
      <c r="F437" s="9">
        <v>46169</v>
      </c>
    </row>
    <row r="438" spans="2:6">
      <c r="B438">
        <v>434</v>
      </c>
      <c r="C438" t="s">
        <v>778</v>
      </c>
      <c r="D438" s="7">
        <v>47851.75</v>
      </c>
      <c r="E438" t="s">
        <v>779</v>
      </c>
      <c r="F438" s="9">
        <v>46169</v>
      </c>
    </row>
    <row r="439" spans="2:6">
      <c r="B439">
        <v>435</v>
      </c>
      <c r="C439" t="s">
        <v>780</v>
      </c>
      <c r="D439" s="7">
        <v>400000</v>
      </c>
      <c r="E439" s="56" t="s">
        <v>922</v>
      </c>
      <c r="F439" s="9">
        <v>46173</v>
      </c>
    </row>
    <row r="440" spans="2:6">
      <c r="B440">
        <v>436</v>
      </c>
      <c r="C440" t="s">
        <v>781</v>
      </c>
      <c r="D440" s="7">
        <v>6000</v>
      </c>
      <c r="E440" t="s">
        <v>782</v>
      </c>
      <c r="F440" s="9">
        <v>46174</v>
      </c>
    </row>
    <row r="441" spans="2:6">
      <c r="B441">
        <v>437</v>
      </c>
      <c r="C441" t="s">
        <v>783</v>
      </c>
      <c r="D441" s="7">
        <v>88.82</v>
      </c>
      <c r="E441" t="s">
        <v>173</v>
      </c>
      <c r="F441" s="9">
        <v>46176</v>
      </c>
    </row>
    <row r="442" spans="2:6">
      <c r="B442">
        <v>438</v>
      </c>
      <c r="C442" t="s">
        <v>784</v>
      </c>
      <c r="D442" s="7">
        <f>357.97*2</f>
        <v>715.94</v>
      </c>
      <c r="E442" t="s">
        <v>173</v>
      </c>
      <c r="F442" s="9">
        <v>46176</v>
      </c>
    </row>
    <row r="443" spans="2:6">
      <c r="B443">
        <v>439</v>
      </c>
      <c r="C443" t="s">
        <v>434</v>
      </c>
      <c r="D443" s="7">
        <v>268.25</v>
      </c>
      <c r="E443" t="s">
        <v>173</v>
      </c>
      <c r="F443" s="9">
        <v>46176</v>
      </c>
    </row>
    <row r="444" spans="2:6">
      <c r="B444">
        <v>440</v>
      </c>
      <c r="C444" t="s">
        <v>785</v>
      </c>
      <c r="D444" s="7">
        <v>191.02</v>
      </c>
      <c r="E444" t="s">
        <v>173</v>
      </c>
      <c r="F444" s="9">
        <v>46176</v>
      </c>
    </row>
    <row r="445" spans="2:6">
      <c r="B445">
        <v>441</v>
      </c>
      <c r="C445" t="s">
        <v>786</v>
      </c>
      <c r="D445" s="7">
        <v>723.98</v>
      </c>
      <c r="E445" t="s">
        <v>173</v>
      </c>
      <c r="F445" s="9">
        <v>46176</v>
      </c>
    </row>
    <row r="446" spans="2:6">
      <c r="B446">
        <v>442</v>
      </c>
      <c r="C446" t="s">
        <v>787</v>
      </c>
      <c r="D446" s="7">
        <f>7*91.47</f>
        <v>640.29</v>
      </c>
      <c r="E446" t="s">
        <v>173</v>
      </c>
      <c r="F446" s="9">
        <v>46177</v>
      </c>
    </row>
    <row r="447" spans="2:6">
      <c r="B447">
        <v>443</v>
      </c>
      <c r="C447" s="18" t="s">
        <v>788</v>
      </c>
      <c r="D447" s="7">
        <f>4*174.18</f>
        <v>696.72</v>
      </c>
      <c r="E447" t="s">
        <v>173</v>
      </c>
      <c r="F447" s="9">
        <v>46177</v>
      </c>
    </row>
    <row r="448" spans="2:6">
      <c r="B448">
        <v>444</v>
      </c>
      <c r="C448" t="s">
        <v>789</v>
      </c>
      <c r="D448" s="7">
        <v>6592.4</v>
      </c>
      <c r="E448" t="s">
        <v>776</v>
      </c>
      <c r="F448" s="9"/>
    </row>
    <row r="449" spans="2:6">
      <c r="B449">
        <v>445</v>
      </c>
      <c r="C449" t="s">
        <v>791</v>
      </c>
      <c r="D449" s="7">
        <v>500</v>
      </c>
      <c r="E449" t="s">
        <v>790</v>
      </c>
      <c r="F449" s="9">
        <v>46178</v>
      </c>
    </row>
    <row r="450" spans="2:6">
      <c r="B450">
        <v>446</v>
      </c>
      <c r="C450" t="s">
        <v>792</v>
      </c>
      <c r="D450" s="7">
        <v>6630</v>
      </c>
      <c r="E450" t="s">
        <v>779</v>
      </c>
      <c r="F450" s="9">
        <v>46181</v>
      </c>
    </row>
    <row r="451" spans="2:6">
      <c r="B451">
        <v>447</v>
      </c>
      <c r="C451" t="s">
        <v>793</v>
      </c>
      <c r="D451" s="7">
        <v>279</v>
      </c>
      <c r="E451" t="s">
        <v>173</v>
      </c>
      <c r="F451" s="9">
        <v>46182</v>
      </c>
    </row>
    <row r="452" spans="2:6">
      <c r="B452">
        <v>448</v>
      </c>
      <c r="C452" s="18" t="s">
        <v>798</v>
      </c>
      <c r="D452" s="7">
        <v>179</v>
      </c>
      <c r="E452" t="s">
        <v>173</v>
      </c>
      <c r="F452" s="9">
        <v>46189</v>
      </c>
    </row>
    <row r="453" spans="2:6">
      <c r="B453">
        <v>449</v>
      </c>
      <c r="C453" t="s">
        <v>799</v>
      </c>
      <c r="D453" s="7">
        <v>199</v>
      </c>
      <c r="E453" t="s">
        <v>173</v>
      </c>
      <c r="F453" s="9">
        <v>46189</v>
      </c>
    </row>
    <row r="454" spans="2:6">
      <c r="B454">
        <v>450</v>
      </c>
      <c r="C454" t="s">
        <v>800</v>
      </c>
      <c r="D454" s="7">
        <v>199</v>
      </c>
      <c r="E454" t="s">
        <v>173</v>
      </c>
      <c r="F454" s="9">
        <v>46189</v>
      </c>
    </row>
    <row r="455" spans="2:6">
      <c r="B455">
        <v>451</v>
      </c>
      <c r="C455" t="s">
        <v>428</v>
      </c>
      <c r="D455" s="7">
        <v>39</v>
      </c>
      <c r="E455" t="s">
        <v>173</v>
      </c>
      <c r="F455" s="9">
        <v>46189</v>
      </c>
    </row>
    <row r="456" spans="2:6">
      <c r="B456">
        <v>452</v>
      </c>
      <c r="C456" t="s">
        <v>429</v>
      </c>
      <c r="D456" s="7">
        <v>219</v>
      </c>
      <c r="E456" t="s">
        <v>173</v>
      </c>
      <c r="F456" s="9">
        <v>46189</v>
      </c>
    </row>
    <row r="457" spans="2:6">
      <c r="B457">
        <v>453</v>
      </c>
      <c r="C457" t="s">
        <v>373</v>
      </c>
      <c r="D457" s="7">
        <v>59</v>
      </c>
      <c r="E457" t="s">
        <v>173</v>
      </c>
      <c r="F457" s="9">
        <v>46189</v>
      </c>
    </row>
    <row r="458" spans="2:6">
      <c r="B458">
        <v>454</v>
      </c>
      <c r="C458" t="s">
        <v>801</v>
      </c>
      <c r="D458" s="7">
        <v>2511</v>
      </c>
      <c r="E458" t="s">
        <v>776</v>
      </c>
      <c r="F458" s="9">
        <v>46189</v>
      </c>
    </row>
    <row r="459" spans="2:6">
      <c r="B459">
        <v>455</v>
      </c>
      <c r="C459" t="s">
        <v>802</v>
      </c>
      <c r="D459" s="7">
        <v>51210</v>
      </c>
      <c r="E459" t="s">
        <v>753</v>
      </c>
      <c r="F459" s="9">
        <v>46194</v>
      </c>
    </row>
    <row r="460" spans="2:6">
      <c r="B460">
        <v>456</v>
      </c>
      <c r="C460" t="s">
        <v>803</v>
      </c>
      <c r="D460" s="7">
        <v>5390</v>
      </c>
      <c r="E460" t="s">
        <v>753</v>
      </c>
      <c r="F460" s="9">
        <v>46194</v>
      </c>
    </row>
    <row r="461" spans="2:6">
      <c r="B461">
        <v>457</v>
      </c>
      <c r="C461" t="s">
        <v>209</v>
      </c>
      <c r="D461" s="7">
        <v>2030</v>
      </c>
      <c r="E461" t="s">
        <v>753</v>
      </c>
      <c r="F461" s="9">
        <v>46194</v>
      </c>
    </row>
    <row r="462" spans="2:6">
      <c r="B462">
        <v>458</v>
      </c>
      <c r="C462" t="s">
        <v>804</v>
      </c>
      <c r="D462" s="7">
        <v>43.65</v>
      </c>
      <c r="E462" t="s">
        <v>807</v>
      </c>
      <c r="F462" s="9">
        <v>46197</v>
      </c>
    </row>
    <row r="463" spans="2:6">
      <c r="B463">
        <v>459</v>
      </c>
      <c r="C463" t="s">
        <v>805</v>
      </c>
      <c r="D463" s="7">
        <v>65.92</v>
      </c>
      <c r="E463" t="s">
        <v>807</v>
      </c>
      <c r="F463" s="9">
        <v>46197</v>
      </c>
    </row>
    <row r="464" spans="2:6">
      <c r="B464">
        <v>460</v>
      </c>
      <c r="C464" t="s">
        <v>806</v>
      </c>
      <c r="D464" s="7">
        <v>257.43</v>
      </c>
      <c r="E464" t="s">
        <v>807</v>
      </c>
      <c r="F464" s="9">
        <v>46197</v>
      </c>
    </row>
    <row r="465" spans="2:6">
      <c r="B465">
        <v>461</v>
      </c>
      <c r="C465" t="s">
        <v>808</v>
      </c>
      <c r="D465" s="7">
        <v>174</v>
      </c>
      <c r="E465" t="s">
        <v>807</v>
      </c>
      <c r="F465" s="9">
        <v>46198</v>
      </c>
    </row>
    <row r="466" spans="2:6">
      <c r="B466">
        <v>462</v>
      </c>
      <c r="C466" t="s">
        <v>809</v>
      </c>
      <c r="D466" s="7">
        <v>45</v>
      </c>
      <c r="E466" t="s">
        <v>807</v>
      </c>
      <c r="F466" s="9">
        <v>46208</v>
      </c>
    </row>
    <row r="467" spans="2:6">
      <c r="B467">
        <v>463</v>
      </c>
      <c r="C467" t="s">
        <v>810</v>
      </c>
      <c r="D467" s="7">
        <v>229</v>
      </c>
      <c r="E467" t="s">
        <v>807</v>
      </c>
      <c r="F467" s="9">
        <v>46208</v>
      </c>
    </row>
    <row r="468" spans="2:6">
      <c r="B468">
        <v>464</v>
      </c>
      <c r="C468" t="s">
        <v>811</v>
      </c>
      <c r="D468" s="7">
        <v>209</v>
      </c>
      <c r="E468" t="s">
        <v>807</v>
      </c>
      <c r="F468" s="9">
        <v>46208</v>
      </c>
    </row>
    <row r="469" spans="2:6">
      <c r="B469">
        <v>465</v>
      </c>
      <c r="C469" t="s">
        <v>812</v>
      </c>
      <c r="D469" s="7">
        <v>249</v>
      </c>
      <c r="E469" t="s">
        <v>807</v>
      </c>
      <c r="F469" s="9">
        <v>46208</v>
      </c>
    </row>
    <row r="470" spans="2:6">
      <c r="B470">
        <v>466</v>
      </c>
      <c r="C470" t="s">
        <v>805</v>
      </c>
      <c r="D470" s="7">
        <v>74</v>
      </c>
      <c r="E470" t="s">
        <v>807</v>
      </c>
      <c r="F470" s="9">
        <v>46208</v>
      </c>
    </row>
    <row r="471" spans="2:6">
      <c r="B471">
        <v>467</v>
      </c>
      <c r="C471" t="s">
        <v>813</v>
      </c>
      <c r="D471" s="7">
        <v>180</v>
      </c>
      <c r="E471" t="s">
        <v>807</v>
      </c>
      <c r="F471" s="9">
        <v>46208</v>
      </c>
    </row>
    <row r="472" spans="2:6">
      <c r="B472">
        <v>468</v>
      </c>
      <c r="C472" s="18" t="s">
        <v>814</v>
      </c>
      <c r="D472" s="7">
        <v>218.52</v>
      </c>
      <c r="E472" t="s">
        <v>807</v>
      </c>
      <c r="F472" s="9">
        <v>46210</v>
      </c>
    </row>
    <row r="473" spans="2:6">
      <c r="B473">
        <v>469</v>
      </c>
      <c r="C473" t="s">
        <v>815</v>
      </c>
      <c r="D473" s="7">
        <v>174.62</v>
      </c>
      <c r="E473" t="s">
        <v>807</v>
      </c>
      <c r="F473" s="9">
        <v>46210</v>
      </c>
    </row>
    <row r="474" spans="2:6">
      <c r="B474">
        <v>470</v>
      </c>
      <c r="C474" t="s">
        <v>816</v>
      </c>
      <c r="D474" s="7">
        <v>125.85</v>
      </c>
      <c r="E474" t="s">
        <v>807</v>
      </c>
      <c r="F474" s="9">
        <v>46210</v>
      </c>
    </row>
    <row r="475" spans="2:6">
      <c r="B475">
        <v>471</v>
      </c>
      <c r="C475" t="s">
        <v>817</v>
      </c>
      <c r="D475" s="7">
        <f xml:space="preserve"> 42.93 + 42.92</f>
        <v>85.85</v>
      </c>
      <c r="E475" t="s">
        <v>807</v>
      </c>
      <c r="F475" s="9">
        <v>46210</v>
      </c>
    </row>
    <row r="476" spans="2:6">
      <c r="B476">
        <v>472</v>
      </c>
      <c r="C476" t="s">
        <v>818</v>
      </c>
      <c r="D476" s="7">
        <v>106.33</v>
      </c>
      <c r="E476" t="s">
        <v>807</v>
      </c>
      <c r="F476" s="9">
        <v>46210</v>
      </c>
    </row>
    <row r="477" spans="2:6">
      <c r="B477">
        <v>473</v>
      </c>
      <c r="C477" t="s">
        <v>819</v>
      </c>
      <c r="D477" s="7">
        <v>174.62</v>
      </c>
      <c r="E477" t="s">
        <v>807</v>
      </c>
      <c r="F477" s="9">
        <v>46210</v>
      </c>
    </row>
    <row r="478" spans="2:6">
      <c r="B478">
        <v>474</v>
      </c>
      <c r="C478" t="s">
        <v>820</v>
      </c>
      <c r="D478" s="7">
        <v>77.069999999999993</v>
      </c>
      <c r="E478" t="s">
        <v>807</v>
      </c>
      <c r="F478" s="9">
        <v>46210</v>
      </c>
    </row>
    <row r="479" spans="2:6">
      <c r="B479">
        <v>475</v>
      </c>
      <c r="C479" t="s">
        <v>821</v>
      </c>
      <c r="D479" s="7">
        <v>291.69</v>
      </c>
      <c r="E479" t="s">
        <v>807</v>
      </c>
      <c r="F479" s="9">
        <v>46210</v>
      </c>
    </row>
    <row r="480" spans="2:6">
      <c r="B480">
        <v>476</v>
      </c>
      <c r="C480" t="s">
        <v>822</v>
      </c>
      <c r="D480" s="7">
        <f xml:space="preserve"> 125.85 *3</f>
        <v>377.54999999999995</v>
      </c>
      <c r="E480" t="s">
        <v>807</v>
      </c>
      <c r="F480" s="9">
        <v>46210</v>
      </c>
    </row>
    <row r="481" spans="2:9">
      <c r="B481">
        <v>477</v>
      </c>
      <c r="C481" t="s">
        <v>823</v>
      </c>
      <c r="D481" s="7">
        <v>135.6</v>
      </c>
      <c r="E481" t="s">
        <v>807</v>
      </c>
      <c r="F481" s="9">
        <v>46210</v>
      </c>
    </row>
    <row r="482" spans="2:9">
      <c r="B482">
        <v>478</v>
      </c>
      <c r="C482" t="s">
        <v>824</v>
      </c>
      <c r="D482" s="7">
        <v>67.31</v>
      </c>
      <c r="E482" t="s">
        <v>807</v>
      </c>
      <c r="F482" s="9">
        <v>46210</v>
      </c>
    </row>
    <row r="483" spans="2:9">
      <c r="B483">
        <v>479</v>
      </c>
      <c r="C483" t="s">
        <v>826</v>
      </c>
      <c r="D483" s="7">
        <v>319865.36</v>
      </c>
      <c r="E483" t="s">
        <v>825</v>
      </c>
      <c r="F483" s="9">
        <v>46196</v>
      </c>
    </row>
    <row r="484" spans="2:9">
      <c r="B484">
        <v>480</v>
      </c>
      <c r="C484" t="s">
        <v>827</v>
      </c>
      <c r="D484" s="7">
        <v>298.48</v>
      </c>
      <c r="E484" t="s">
        <v>173</v>
      </c>
      <c r="F484" s="9">
        <v>46214</v>
      </c>
    </row>
    <row r="485" spans="2:9">
      <c r="B485">
        <v>481</v>
      </c>
      <c r="C485" t="s">
        <v>828</v>
      </c>
      <c r="D485" s="7">
        <v>791.13</v>
      </c>
      <c r="E485" t="s">
        <v>173</v>
      </c>
      <c r="F485" s="9">
        <v>46214</v>
      </c>
    </row>
    <row r="486" spans="2:9">
      <c r="B486">
        <v>482</v>
      </c>
      <c r="C486" t="s">
        <v>829</v>
      </c>
      <c r="D486" s="7">
        <v>462.7</v>
      </c>
      <c r="E486" t="s">
        <v>173</v>
      </c>
      <c r="F486" s="9">
        <v>46214</v>
      </c>
    </row>
    <row r="487" spans="2:9">
      <c r="B487">
        <v>483</v>
      </c>
      <c r="C487" t="s">
        <v>830</v>
      </c>
      <c r="D487" s="7">
        <v>76.31</v>
      </c>
      <c r="E487" t="s">
        <v>173</v>
      </c>
      <c r="F487" s="9">
        <v>46214</v>
      </c>
    </row>
    <row r="488" spans="2:9">
      <c r="B488">
        <v>484</v>
      </c>
      <c r="C488" t="s">
        <v>831</v>
      </c>
      <c r="D488" s="7">
        <v>211.55</v>
      </c>
      <c r="E488" t="s">
        <v>173</v>
      </c>
      <c r="F488" s="9">
        <v>46214</v>
      </c>
    </row>
    <row r="489" spans="2:9">
      <c r="B489">
        <v>485</v>
      </c>
      <c r="C489" t="s">
        <v>832</v>
      </c>
      <c r="D489" s="7">
        <v>91.77</v>
      </c>
      <c r="E489" t="s">
        <v>173</v>
      </c>
      <c r="F489" s="9">
        <v>46214</v>
      </c>
    </row>
    <row r="490" spans="2:9">
      <c r="B490">
        <v>486</v>
      </c>
      <c r="C490" t="s">
        <v>833</v>
      </c>
      <c r="D490" s="7">
        <v>100.46</v>
      </c>
      <c r="E490" t="s">
        <v>173</v>
      </c>
      <c r="F490" s="9">
        <v>46214</v>
      </c>
    </row>
    <row r="491" spans="2:9">
      <c r="B491">
        <v>487</v>
      </c>
      <c r="C491" t="s">
        <v>834</v>
      </c>
      <c r="D491" s="7">
        <v>39.6</v>
      </c>
      <c r="E491" t="s">
        <v>173</v>
      </c>
      <c r="F491" s="9">
        <v>46214</v>
      </c>
      <c r="H491" s="59" t="s">
        <v>939</v>
      </c>
      <c r="I491" s="60">
        <f>SUM(D492:D497,D499,D503,D504,D506:D508,D521:D531,D536:D538,D540,D547:D550,D552:D553,D519)+90000</f>
        <v>526302.87</v>
      </c>
    </row>
    <row r="492" spans="2:9">
      <c r="B492">
        <v>488</v>
      </c>
      <c r="C492" t="s">
        <v>835</v>
      </c>
      <c r="D492" s="7">
        <v>16176</v>
      </c>
      <c r="E492" t="s">
        <v>173</v>
      </c>
      <c r="F492" s="9">
        <v>46217</v>
      </c>
      <c r="H492" t="s">
        <v>940</v>
      </c>
      <c r="I492" s="7">
        <f>90000+120000</f>
        <v>210000</v>
      </c>
    </row>
    <row r="493" spans="2:9">
      <c r="B493">
        <v>489</v>
      </c>
      <c r="C493" s="18" t="s">
        <v>836</v>
      </c>
      <c r="D493" s="7">
        <v>2200</v>
      </c>
      <c r="E493" t="s">
        <v>173</v>
      </c>
      <c r="F493" s="9">
        <v>46217</v>
      </c>
      <c r="H493" t="s">
        <v>942</v>
      </c>
      <c r="I493" s="7">
        <f>I491-I492</f>
        <v>316302.87</v>
      </c>
    </row>
    <row r="494" spans="2:9">
      <c r="B494">
        <v>490</v>
      </c>
      <c r="C494" t="s">
        <v>837</v>
      </c>
      <c r="D494" s="7">
        <v>3050</v>
      </c>
      <c r="E494" t="s">
        <v>173</v>
      </c>
      <c r="F494" s="9">
        <v>46217</v>
      </c>
      <c r="H494" t="s">
        <v>941</v>
      </c>
      <c r="I494" s="58">
        <f>I492/I491</f>
        <v>0.39900979449342544</v>
      </c>
    </row>
    <row r="495" spans="2:9">
      <c r="B495">
        <v>491</v>
      </c>
      <c r="C495" t="s">
        <v>838</v>
      </c>
      <c r="D495" s="7">
        <v>2990</v>
      </c>
      <c r="E495" t="s">
        <v>173</v>
      </c>
      <c r="F495" s="9">
        <v>46217</v>
      </c>
    </row>
    <row r="496" spans="2:9">
      <c r="B496">
        <v>492</v>
      </c>
      <c r="C496" t="s">
        <v>839</v>
      </c>
      <c r="D496" s="7">
        <v>1980</v>
      </c>
      <c r="E496" t="s">
        <v>173</v>
      </c>
      <c r="F496" s="9">
        <v>46217</v>
      </c>
    </row>
    <row r="497" spans="2:6">
      <c r="B497">
        <v>493</v>
      </c>
      <c r="C497" t="s">
        <v>426</v>
      </c>
      <c r="D497" s="7">
        <v>1100</v>
      </c>
      <c r="E497" t="s">
        <v>173</v>
      </c>
      <c r="F497" s="9">
        <v>46217</v>
      </c>
    </row>
    <row r="498" spans="2:6">
      <c r="B498">
        <v>494</v>
      </c>
      <c r="C498" t="s">
        <v>841</v>
      </c>
      <c r="D498" s="7">
        <v>17000</v>
      </c>
      <c r="E498" t="s">
        <v>840</v>
      </c>
      <c r="F498" s="9">
        <v>46217</v>
      </c>
    </row>
    <row r="499" spans="2:6">
      <c r="B499">
        <v>495</v>
      </c>
      <c r="C499" t="s">
        <v>842</v>
      </c>
      <c r="D499" s="7">
        <v>25000</v>
      </c>
      <c r="E499" t="s">
        <v>843</v>
      </c>
      <c r="F499" s="9">
        <v>46220</v>
      </c>
    </row>
    <row r="500" spans="2:6">
      <c r="B500">
        <v>496</v>
      </c>
      <c r="C500" s="18" t="s">
        <v>844</v>
      </c>
      <c r="D500" s="7">
        <v>249</v>
      </c>
      <c r="E500" t="s">
        <v>173</v>
      </c>
      <c r="F500" s="9">
        <v>46221</v>
      </c>
    </row>
    <row r="501" spans="2:6">
      <c r="B501">
        <v>497</v>
      </c>
      <c r="C501" t="s">
        <v>845</v>
      </c>
      <c r="D501" s="7">
        <v>259</v>
      </c>
      <c r="E501" t="s">
        <v>173</v>
      </c>
      <c r="F501" s="9">
        <v>46221</v>
      </c>
    </row>
    <row r="502" spans="2:6">
      <c r="B502">
        <v>498</v>
      </c>
      <c r="C502" t="s">
        <v>846</v>
      </c>
      <c r="D502" s="7">
        <v>205</v>
      </c>
      <c r="E502" t="s">
        <v>173</v>
      </c>
      <c r="F502" s="9">
        <v>46221</v>
      </c>
    </row>
    <row r="503" spans="2:6">
      <c r="B503">
        <v>499</v>
      </c>
      <c r="C503" t="s">
        <v>847</v>
      </c>
      <c r="D503" s="7">
        <v>5000</v>
      </c>
      <c r="E503" t="s">
        <v>843</v>
      </c>
      <c r="F503" s="9">
        <v>46219</v>
      </c>
    </row>
    <row r="504" spans="2:6">
      <c r="B504">
        <v>500</v>
      </c>
      <c r="C504" t="s">
        <v>848</v>
      </c>
      <c r="D504" s="7">
        <f xml:space="preserve"> 224.43 * 2</f>
        <v>448.86</v>
      </c>
      <c r="E504" t="s">
        <v>173</v>
      </c>
      <c r="F504" s="9">
        <v>46222</v>
      </c>
    </row>
    <row r="505" spans="2:6">
      <c r="B505">
        <v>501</v>
      </c>
      <c r="C505" s="11" t="s">
        <v>849</v>
      </c>
      <c r="D505" s="7">
        <v>48.33</v>
      </c>
      <c r="E505" t="s">
        <v>173</v>
      </c>
      <c r="F505" s="9">
        <v>46222</v>
      </c>
    </row>
    <row r="506" spans="2:6">
      <c r="B506">
        <v>502</v>
      </c>
      <c r="C506" t="s">
        <v>850</v>
      </c>
      <c r="D506" s="7">
        <v>427.22</v>
      </c>
      <c r="E506" t="s">
        <v>173</v>
      </c>
      <c r="F506" s="9">
        <v>46222</v>
      </c>
    </row>
    <row r="507" spans="2:6">
      <c r="B507">
        <v>503</v>
      </c>
      <c r="C507" t="s">
        <v>851</v>
      </c>
      <c r="D507" s="7">
        <v>573.6</v>
      </c>
      <c r="E507" t="s">
        <v>173</v>
      </c>
      <c r="F507" s="9">
        <v>46222</v>
      </c>
    </row>
    <row r="508" spans="2:6">
      <c r="B508">
        <v>504</v>
      </c>
      <c r="C508" t="s">
        <v>842</v>
      </c>
      <c r="D508" s="7">
        <v>26000</v>
      </c>
      <c r="E508" t="s">
        <v>843</v>
      </c>
      <c r="F508" s="9">
        <v>46222</v>
      </c>
    </row>
    <row r="509" spans="2:6">
      <c r="B509">
        <v>505</v>
      </c>
      <c r="C509" t="s">
        <v>852</v>
      </c>
      <c r="D509" s="7">
        <v>4833</v>
      </c>
      <c r="E509" t="s">
        <v>621</v>
      </c>
      <c r="F509" s="9">
        <v>46225</v>
      </c>
    </row>
    <row r="510" spans="2:6">
      <c r="B510">
        <v>506</v>
      </c>
      <c r="C510" t="s">
        <v>853</v>
      </c>
      <c r="D510" s="7">
        <v>1814</v>
      </c>
      <c r="E510" t="s">
        <v>621</v>
      </c>
      <c r="F510" s="9">
        <v>46226</v>
      </c>
    </row>
    <row r="511" spans="2:6">
      <c r="B511">
        <v>507</v>
      </c>
      <c r="C511" t="s">
        <v>854</v>
      </c>
      <c r="D511" s="7">
        <v>3678</v>
      </c>
      <c r="E511" t="s">
        <v>621</v>
      </c>
      <c r="F511" s="9">
        <v>46228</v>
      </c>
    </row>
    <row r="512" spans="2:6">
      <c r="B512">
        <v>508</v>
      </c>
      <c r="C512" t="s">
        <v>855</v>
      </c>
      <c r="D512" s="7">
        <v>216</v>
      </c>
      <c r="E512" t="s">
        <v>232</v>
      </c>
      <c r="F512" s="9">
        <v>46228</v>
      </c>
    </row>
    <row r="513" spans="2:6">
      <c r="B513">
        <v>509</v>
      </c>
      <c r="C513" s="55" t="s">
        <v>856</v>
      </c>
      <c r="D513" s="7">
        <v>16666</v>
      </c>
      <c r="E513" t="s">
        <v>232</v>
      </c>
      <c r="F513" s="9">
        <v>46243</v>
      </c>
    </row>
    <row r="514" spans="2:6">
      <c r="B514">
        <v>510</v>
      </c>
      <c r="C514" t="s">
        <v>857</v>
      </c>
      <c r="D514" s="7">
        <v>343</v>
      </c>
      <c r="E514" t="s">
        <v>232</v>
      </c>
      <c r="F514" s="9">
        <v>46225</v>
      </c>
    </row>
    <row r="515" spans="2:6">
      <c r="B515">
        <v>511</v>
      </c>
      <c r="C515" t="s">
        <v>877</v>
      </c>
      <c r="D515" s="7">
        <v>1367</v>
      </c>
      <c r="E515" t="s">
        <v>173</v>
      </c>
      <c r="F515" s="9">
        <v>46228</v>
      </c>
    </row>
    <row r="516" spans="2:6">
      <c r="B516">
        <v>512</v>
      </c>
      <c r="C516" t="s">
        <v>878</v>
      </c>
      <c r="D516" s="7">
        <v>608</v>
      </c>
      <c r="E516" t="s">
        <v>173</v>
      </c>
      <c r="F516" s="9">
        <v>46230</v>
      </c>
    </row>
    <row r="517" spans="2:6">
      <c r="B517">
        <v>513</v>
      </c>
      <c r="C517" t="s">
        <v>879</v>
      </c>
      <c r="D517" s="7">
        <v>1755</v>
      </c>
      <c r="E517" t="s">
        <v>721</v>
      </c>
      <c r="F517" s="9">
        <v>46230</v>
      </c>
    </row>
    <row r="518" spans="2:6">
      <c r="B518">
        <v>514</v>
      </c>
      <c r="C518" t="s">
        <v>473</v>
      </c>
      <c r="D518" s="7">
        <v>12000</v>
      </c>
      <c r="E518" t="s">
        <v>880</v>
      </c>
      <c r="F518" s="9">
        <v>46230</v>
      </c>
    </row>
    <row r="519" spans="2:6">
      <c r="B519">
        <v>515</v>
      </c>
      <c r="C519" t="s">
        <v>882</v>
      </c>
      <c r="D519" s="7">
        <v>74439</v>
      </c>
      <c r="E519" t="s">
        <v>881</v>
      </c>
      <c r="F519" s="9">
        <v>46230</v>
      </c>
    </row>
    <row r="520" spans="2:6">
      <c r="B520">
        <v>516</v>
      </c>
      <c r="C520" t="s">
        <v>883</v>
      </c>
      <c r="D520" s="7">
        <v>117306</v>
      </c>
      <c r="E520" t="s">
        <v>881</v>
      </c>
      <c r="F520" s="9">
        <v>46230</v>
      </c>
    </row>
    <row r="521" spans="2:6">
      <c r="B521">
        <v>517</v>
      </c>
      <c r="C521" t="s">
        <v>884</v>
      </c>
      <c r="D521" s="7">
        <v>2700</v>
      </c>
      <c r="E521" t="s">
        <v>881</v>
      </c>
      <c r="F521" s="9">
        <v>46230</v>
      </c>
    </row>
    <row r="522" spans="2:6">
      <c r="B522">
        <v>518</v>
      </c>
      <c r="C522" t="s">
        <v>886</v>
      </c>
      <c r="D522" s="7">
        <f>8115.85+4698.76</f>
        <v>12814.61</v>
      </c>
      <c r="E522" t="s">
        <v>885</v>
      </c>
      <c r="F522" s="9">
        <v>46234</v>
      </c>
    </row>
    <row r="523" spans="2:6">
      <c r="B523">
        <v>519</v>
      </c>
      <c r="C523" t="s">
        <v>887</v>
      </c>
      <c r="D523" s="7">
        <f>17173.51+592.2</f>
        <v>17765.71</v>
      </c>
      <c r="E523" t="s">
        <v>885</v>
      </c>
      <c r="F523" s="9">
        <v>46234</v>
      </c>
    </row>
    <row r="524" spans="2:6">
      <c r="B524">
        <v>520</v>
      </c>
      <c r="C524" t="s">
        <v>888</v>
      </c>
      <c r="D524" s="7">
        <v>6972.3</v>
      </c>
      <c r="E524" t="s">
        <v>885</v>
      </c>
      <c r="F524" s="9">
        <v>46234</v>
      </c>
    </row>
    <row r="525" spans="2:6">
      <c r="B525">
        <v>521</v>
      </c>
      <c r="C525" t="s">
        <v>889</v>
      </c>
      <c r="D525" s="7">
        <v>774.72</v>
      </c>
      <c r="E525" t="s">
        <v>885</v>
      </c>
      <c r="F525" s="9">
        <v>46234</v>
      </c>
    </row>
    <row r="526" spans="2:6">
      <c r="B526">
        <v>522</v>
      </c>
      <c r="C526" t="s">
        <v>890</v>
      </c>
      <c r="D526" s="7">
        <f>8708.1+2902.71</f>
        <v>11610.810000000001</v>
      </c>
      <c r="E526" t="s">
        <v>885</v>
      </c>
      <c r="F526" s="9">
        <v>46234</v>
      </c>
    </row>
    <row r="527" spans="2:6">
      <c r="B527">
        <v>523</v>
      </c>
      <c r="C527" t="s">
        <v>891</v>
      </c>
      <c r="D527" s="7">
        <f>5*90.28</f>
        <v>451.4</v>
      </c>
      <c r="E527" t="s">
        <v>885</v>
      </c>
      <c r="F527" s="9">
        <v>46234</v>
      </c>
    </row>
    <row r="528" spans="2:6">
      <c r="B528">
        <v>524</v>
      </c>
      <c r="C528" t="s">
        <v>892</v>
      </c>
      <c r="D528" s="7">
        <f>824.22*2</f>
        <v>1648.44</v>
      </c>
      <c r="E528" t="s">
        <v>885</v>
      </c>
      <c r="F528" s="9">
        <v>46234</v>
      </c>
    </row>
    <row r="529" spans="2:6">
      <c r="B529">
        <v>525</v>
      </c>
      <c r="C529" t="s">
        <v>426</v>
      </c>
      <c r="D529" s="7">
        <v>2510</v>
      </c>
      <c r="E529" t="s">
        <v>885</v>
      </c>
      <c r="F529" s="9">
        <v>46234</v>
      </c>
    </row>
    <row r="530" spans="2:6">
      <c r="B530">
        <v>526</v>
      </c>
      <c r="C530" t="s">
        <v>893</v>
      </c>
      <c r="D530" s="7">
        <f>251.35*2</f>
        <v>502.7</v>
      </c>
      <c r="E530" t="s">
        <v>885</v>
      </c>
      <c r="F530" s="9">
        <v>46237</v>
      </c>
    </row>
    <row r="531" spans="2:6">
      <c r="B531">
        <v>527</v>
      </c>
      <c r="C531" t="s">
        <v>894</v>
      </c>
      <c r="D531" s="7">
        <f>174.33*9</f>
        <v>1568.97</v>
      </c>
      <c r="E531" t="s">
        <v>885</v>
      </c>
      <c r="F531" s="9">
        <v>46237</v>
      </c>
    </row>
    <row r="532" spans="2:6">
      <c r="B532">
        <v>528</v>
      </c>
      <c r="C532" t="s">
        <v>895</v>
      </c>
      <c r="D532" s="7">
        <v>118.32</v>
      </c>
      <c r="E532" t="s">
        <v>885</v>
      </c>
      <c r="F532" s="9">
        <v>46237</v>
      </c>
    </row>
    <row r="533" spans="2:6">
      <c r="B533">
        <v>529</v>
      </c>
      <c r="C533" t="s">
        <v>913</v>
      </c>
      <c r="D533" s="7">
        <v>153.30000000000001</v>
      </c>
      <c r="E533" t="s">
        <v>885</v>
      </c>
      <c r="F533" s="9">
        <v>46239</v>
      </c>
    </row>
    <row r="534" spans="2:6">
      <c r="B534">
        <v>530</v>
      </c>
      <c r="C534" t="s">
        <v>914</v>
      </c>
      <c r="D534" s="7">
        <v>221.2</v>
      </c>
      <c r="E534" t="s">
        <v>885</v>
      </c>
      <c r="F534" s="9">
        <v>46239</v>
      </c>
    </row>
    <row r="535" spans="2:6">
      <c r="B535">
        <v>531</v>
      </c>
      <c r="C535" t="s">
        <v>915</v>
      </c>
      <c r="D535" s="7">
        <f>147.87*20</f>
        <v>2957.4</v>
      </c>
      <c r="E535" t="s">
        <v>885</v>
      </c>
      <c r="F535" s="9">
        <v>46240</v>
      </c>
    </row>
    <row r="536" spans="2:6">
      <c r="B536">
        <v>532</v>
      </c>
      <c r="C536" t="s">
        <v>916</v>
      </c>
      <c r="D536" s="7">
        <f>24*72.76</f>
        <v>1746.2400000000002</v>
      </c>
      <c r="E536" t="s">
        <v>885</v>
      </c>
      <c r="F536" s="9">
        <v>46240</v>
      </c>
    </row>
    <row r="537" spans="2:6">
      <c r="B537">
        <v>533</v>
      </c>
      <c r="C537" t="s">
        <v>917</v>
      </c>
      <c r="D537" s="7">
        <f>664.23*2</f>
        <v>1328.46</v>
      </c>
      <c r="E537" t="s">
        <v>885</v>
      </c>
      <c r="F537" s="9">
        <v>46240</v>
      </c>
    </row>
    <row r="538" spans="2:6">
      <c r="B538">
        <v>534</v>
      </c>
      <c r="C538" t="s">
        <v>918</v>
      </c>
      <c r="D538" s="7">
        <v>900</v>
      </c>
      <c r="E538" t="s">
        <v>885</v>
      </c>
      <c r="F538" s="9">
        <v>46240</v>
      </c>
    </row>
    <row r="539" spans="2:6">
      <c r="B539">
        <v>535</v>
      </c>
      <c r="C539" t="s">
        <v>919</v>
      </c>
      <c r="D539" s="7">
        <v>319</v>
      </c>
      <c r="E539" t="s">
        <v>885</v>
      </c>
      <c r="F539" s="9">
        <v>46242</v>
      </c>
    </row>
    <row r="540" spans="2:6">
      <c r="B540">
        <v>536</v>
      </c>
      <c r="C540" t="s">
        <v>920</v>
      </c>
      <c r="D540" s="7">
        <f>8*248</f>
        <v>1984</v>
      </c>
      <c r="E540" t="s">
        <v>885</v>
      </c>
      <c r="F540" s="9">
        <v>46242</v>
      </c>
    </row>
    <row r="541" spans="2:6">
      <c r="B541">
        <v>537</v>
      </c>
      <c r="C541" t="s">
        <v>921</v>
      </c>
      <c r="D541" s="7">
        <v>809</v>
      </c>
      <c r="E541" t="s">
        <v>885</v>
      </c>
      <c r="F541" s="9">
        <v>46242</v>
      </c>
    </row>
    <row r="542" spans="2:6">
      <c r="B542">
        <v>538</v>
      </c>
      <c r="C542" s="57" t="s">
        <v>923</v>
      </c>
      <c r="D542" s="7">
        <v>5352</v>
      </c>
      <c r="E542" t="s">
        <v>621</v>
      </c>
      <c r="F542" s="9">
        <v>46235</v>
      </c>
    </row>
    <row r="543" spans="2:6">
      <c r="B543">
        <v>539</v>
      </c>
      <c r="C543" t="s">
        <v>924</v>
      </c>
      <c r="D543" s="7">
        <v>1704</v>
      </c>
      <c r="E543" t="s">
        <v>621</v>
      </c>
      <c r="F543" s="9">
        <v>46235</v>
      </c>
    </row>
    <row r="544" spans="2:6">
      <c r="B544">
        <v>540</v>
      </c>
      <c r="C544" t="s">
        <v>925</v>
      </c>
      <c r="D544" s="7">
        <v>10671</v>
      </c>
      <c r="E544" t="s">
        <v>372</v>
      </c>
      <c r="F544" s="9">
        <v>46228</v>
      </c>
    </row>
    <row r="545" spans="2:6">
      <c r="B545">
        <v>541</v>
      </c>
      <c r="C545" t="s">
        <v>926</v>
      </c>
      <c r="D545" s="7">
        <f>845*4</f>
        <v>3380</v>
      </c>
      <c r="E545" t="s">
        <v>372</v>
      </c>
      <c r="F545" s="9">
        <v>46228</v>
      </c>
    </row>
    <row r="546" spans="2:6">
      <c r="B546">
        <v>542</v>
      </c>
      <c r="C546" t="s">
        <v>927</v>
      </c>
      <c r="D546" s="7">
        <v>6080</v>
      </c>
      <c r="E546" t="s">
        <v>621</v>
      </c>
      <c r="F546" s="9">
        <v>46243</v>
      </c>
    </row>
    <row r="547" spans="2:6">
      <c r="B547">
        <v>543</v>
      </c>
      <c r="C547" t="s">
        <v>928</v>
      </c>
      <c r="D547" s="7">
        <f>1579.75*2</f>
        <v>3159.5</v>
      </c>
      <c r="E547" t="s">
        <v>885</v>
      </c>
      <c r="F547" s="9">
        <v>46243</v>
      </c>
    </row>
    <row r="548" spans="2:6">
      <c r="B548">
        <v>544</v>
      </c>
      <c r="C548" t="s">
        <v>929</v>
      </c>
      <c r="D548" s="7">
        <f>86.93*37</f>
        <v>3216.4100000000003</v>
      </c>
      <c r="E548" t="s">
        <v>885</v>
      </c>
      <c r="F548" s="9">
        <v>46243</v>
      </c>
    </row>
    <row r="549" spans="2:6">
      <c r="B549">
        <v>545</v>
      </c>
      <c r="C549" t="s">
        <v>931</v>
      </c>
      <c r="D549" s="7">
        <v>80160</v>
      </c>
      <c r="E549" t="s">
        <v>930</v>
      </c>
      <c r="F549" s="9">
        <v>46244</v>
      </c>
    </row>
    <row r="550" spans="2:6">
      <c r="B550">
        <v>546</v>
      </c>
      <c r="C550" t="s">
        <v>932</v>
      </c>
      <c r="D550" s="7">
        <v>120000</v>
      </c>
      <c r="E550" t="s">
        <v>843</v>
      </c>
      <c r="F550" s="9">
        <v>46244</v>
      </c>
    </row>
    <row r="551" spans="2:6">
      <c r="B551">
        <v>547</v>
      </c>
      <c r="C551" t="s">
        <v>933</v>
      </c>
      <c r="D551" s="7">
        <v>498</v>
      </c>
      <c r="E551" t="s">
        <v>885</v>
      </c>
      <c r="F551" s="9">
        <v>46246</v>
      </c>
    </row>
    <row r="552" spans="2:6">
      <c r="B552">
        <v>548</v>
      </c>
      <c r="C552" t="s">
        <v>934</v>
      </c>
      <c r="D552" s="7">
        <v>425</v>
      </c>
      <c r="E552" t="s">
        <v>935</v>
      </c>
      <c r="F552" s="9">
        <v>46246</v>
      </c>
    </row>
    <row r="553" spans="2:6">
      <c r="B553">
        <v>549</v>
      </c>
      <c r="C553" t="s">
        <v>936</v>
      </c>
      <c r="D553" s="7">
        <v>4678.92</v>
      </c>
      <c r="E553" t="s">
        <v>935</v>
      </c>
      <c r="F553" s="9">
        <v>46246</v>
      </c>
    </row>
    <row r="554" spans="2:6">
      <c r="B554">
        <v>550</v>
      </c>
      <c r="C554" t="s">
        <v>937</v>
      </c>
      <c r="D554" s="7">
        <v>158</v>
      </c>
      <c r="E554" t="s">
        <v>885</v>
      </c>
      <c r="F554" s="9">
        <v>46247</v>
      </c>
    </row>
    <row r="555" spans="2:6">
      <c r="B555">
        <v>551</v>
      </c>
      <c r="C555" t="s">
        <v>938</v>
      </c>
      <c r="D555" s="7">
        <f>5*79</f>
        <v>395</v>
      </c>
      <c r="E555" t="s">
        <v>885</v>
      </c>
      <c r="F555" s="9">
        <v>46247</v>
      </c>
    </row>
    <row r="556" spans="2:6">
      <c r="B556">
        <v>552</v>
      </c>
      <c r="C556" t="s">
        <v>932</v>
      </c>
      <c r="D556" s="7">
        <v>90000</v>
      </c>
      <c r="E556" t="s">
        <v>843</v>
      </c>
      <c r="F556" s="9">
        <v>46255</v>
      </c>
    </row>
    <row r="557" spans="2:6">
      <c r="B557">
        <v>553</v>
      </c>
      <c r="C557" t="s">
        <v>944</v>
      </c>
      <c r="D557" s="7">
        <v>54019.55</v>
      </c>
      <c r="E557" t="s">
        <v>943</v>
      </c>
      <c r="F557" s="9">
        <v>46267</v>
      </c>
    </row>
    <row r="558" spans="2:6">
      <c r="B558">
        <v>554</v>
      </c>
      <c r="C558" t="s">
        <v>945</v>
      </c>
      <c r="D558" s="7">
        <v>796.68</v>
      </c>
      <c r="E558" t="s">
        <v>885</v>
      </c>
      <c r="F558" s="9">
        <v>46267</v>
      </c>
    </row>
    <row r="559" spans="2:6">
      <c r="C559" t="s">
        <v>946</v>
      </c>
      <c r="D559" s="7">
        <v>1304.33</v>
      </c>
      <c r="E559" t="s">
        <v>885</v>
      </c>
      <c r="F559" s="9">
        <v>46267</v>
      </c>
    </row>
    <row r="560" spans="2:6">
      <c r="C560" t="s">
        <v>947</v>
      </c>
      <c r="D560" s="7">
        <v>1304.33</v>
      </c>
      <c r="E560" t="s">
        <v>885</v>
      </c>
      <c r="F560" s="9">
        <v>46267</v>
      </c>
    </row>
    <row r="561" spans="3:6">
      <c r="C561" t="s">
        <v>948</v>
      </c>
      <c r="D561" s="7">
        <v>1116.6600000000001</v>
      </c>
      <c r="E561" t="s">
        <v>885</v>
      </c>
      <c r="F561" s="9">
        <v>46267</v>
      </c>
    </row>
    <row r="562" spans="3:6">
      <c r="C562" t="s">
        <v>965</v>
      </c>
      <c r="D562" s="7">
        <v>7290</v>
      </c>
      <c r="E562" t="s">
        <v>964</v>
      </c>
      <c r="F562" s="9">
        <v>46272</v>
      </c>
    </row>
    <row r="563" spans="3:6">
      <c r="C563" t="s">
        <v>966</v>
      </c>
      <c r="D563" s="7">
        <v>11190</v>
      </c>
      <c r="E563" t="s">
        <v>964</v>
      </c>
      <c r="F563" s="9">
        <v>46272</v>
      </c>
    </row>
    <row r="564" spans="3:6">
      <c r="C564" t="s">
        <v>967</v>
      </c>
      <c r="D564" s="7">
        <v>237.65</v>
      </c>
      <c r="E564" t="s">
        <v>964</v>
      </c>
      <c r="F564" s="9">
        <v>46272</v>
      </c>
    </row>
    <row r="565" spans="3:6">
      <c r="C565" t="s">
        <v>968</v>
      </c>
      <c r="D565" s="7">
        <v>785.7</v>
      </c>
      <c r="E565" t="s">
        <v>964</v>
      </c>
      <c r="F565" s="9">
        <v>46272</v>
      </c>
    </row>
    <row r="566" spans="3:6">
      <c r="C566" t="s">
        <v>969</v>
      </c>
      <c r="D566" s="7">
        <v>669.3</v>
      </c>
      <c r="E566" t="s">
        <v>964</v>
      </c>
      <c r="F566" s="9">
        <v>46272</v>
      </c>
    </row>
    <row r="567" spans="3:6">
      <c r="C567" t="s">
        <v>970</v>
      </c>
      <c r="D567" s="7">
        <v>110.58</v>
      </c>
      <c r="E567" t="s">
        <v>964</v>
      </c>
      <c r="F567" s="9">
        <v>46272</v>
      </c>
    </row>
    <row r="568" spans="3:6">
      <c r="C568" t="s">
        <v>971</v>
      </c>
      <c r="D568" s="7">
        <v>2786</v>
      </c>
      <c r="E568" t="s">
        <v>964</v>
      </c>
      <c r="F568" s="9">
        <v>46274</v>
      </c>
    </row>
    <row r="569" spans="3:6">
      <c r="C569" t="s">
        <v>972</v>
      </c>
      <c r="D569" s="7">
        <v>25800</v>
      </c>
      <c r="E569" t="s">
        <v>885</v>
      </c>
      <c r="F569" s="9">
        <v>46274</v>
      </c>
    </row>
    <row r="570" spans="3:6">
      <c r="C570" t="s">
        <v>973</v>
      </c>
      <c r="D570" s="7">
        <v>75</v>
      </c>
      <c r="E570" t="s">
        <v>885</v>
      </c>
      <c r="F570" s="9">
        <v>46274</v>
      </c>
    </row>
    <row r="571" spans="3:6">
      <c r="C571" t="s">
        <v>974</v>
      </c>
      <c r="D571" s="7">
        <v>78</v>
      </c>
      <c r="E571" t="s">
        <v>885</v>
      </c>
      <c r="F571" s="9">
        <v>46274</v>
      </c>
    </row>
    <row r="572" spans="3:6">
      <c r="C572" s="65" t="s">
        <v>975</v>
      </c>
      <c r="D572" s="7">
        <v>280</v>
      </c>
      <c r="E572" t="s">
        <v>372</v>
      </c>
      <c r="F572" s="9">
        <v>46275</v>
      </c>
    </row>
    <row r="573" spans="3:6">
      <c r="C573" t="s">
        <v>976</v>
      </c>
      <c r="D573" s="7">
        <v>160.41999999999999</v>
      </c>
      <c r="E573" t="s">
        <v>885</v>
      </c>
      <c r="F573" s="9">
        <v>46282</v>
      </c>
    </row>
    <row r="574" spans="3:6">
      <c r="C574" t="s">
        <v>977</v>
      </c>
      <c r="D574" s="7">
        <v>594.73</v>
      </c>
      <c r="E574" t="s">
        <v>885</v>
      </c>
      <c r="F574" s="9">
        <v>46282</v>
      </c>
    </row>
    <row r="575" spans="3:6">
      <c r="C575" t="s">
        <v>978</v>
      </c>
      <c r="D575" s="7">
        <v>105.08</v>
      </c>
      <c r="E575" t="s">
        <v>885</v>
      </c>
      <c r="F575" s="9">
        <v>46282</v>
      </c>
    </row>
    <row r="576" spans="3:6">
      <c r="C576" t="s">
        <v>979</v>
      </c>
      <c r="D576" s="7">
        <v>58.14</v>
      </c>
      <c r="E576" t="s">
        <v>885</v>
      </c>
      <c r="F576" s="9">
        <v>46282</v>
      </c>
    </row>
    <row r="577" spans="3:6">
      <c r="C577" t="s">
        <v>980</v>
      </c>
      <c r="D577" s="7">
        <v>139.4</v>
      </c>
      <c r="E577" t="s">
        <v>885</v>
      </c>
      <c r="F577" s="9">
        <v>46282</v>
      </c>
    </row>
    <row r="578" spans="3:6">
      <c r="C578" t="s">
        <v>981</v>
      </c>
      <c r="D578" s="7">
        <v>72.849999999999994</v>
      </c>
      <c r="E578" t="s">
        <v>885</v>
      </c>
      <c r="F578" s="9">
        <v>46282</v>
      </c>
    </row>
    <row r="579" spans="3:6">
      <c r="C579" t="s">
        <v>982</v>
      </c>
      <c r="D579" s="7">
        <v>104.38</v>
      </c>
      <c r="E579" t="s">
        <v>885</v>
      </c>
      <c r="F579" s="9">
        <v>46282</v>
      </c>
    </row>
    <row r="580" spans="3:6">
      <c r="C580" t="s">
        <v>977</v>
      </c>
      <c r="D580" s="7">
        <v>594.49</v>
      </c>
      <c r="E580" t="s">
        <v>885</v>
      </c>
      <c r="F580" s="9">
        <v>46287</v>
      </c>
    </row>
    <row r="581" spans="3:6">
      <c r="C581" t="s">
        <v>983</v>
      </c>
      <c r="D581" s="7">
        <v>664.51</v>
      </c>
      <c r="E581" t="s">
        <v>885</v>
      </c>
      <c r="F581" s="9">
        <v>46287</v>
      </c>
    </row>
    <row r="582" spans="3:6">
      <c r="C582" t="s">
        <v>986</v>
      </c>
      <c r="D582" s="7">
        <v>494</v>
      </c>
      <c r="E582" t="s">
        <v>984</v>
      </c>
      <c r="F582" s="9">
        <v>46287</v>
      </c>
    </row>
    <row r="583" spans="3:6">
      <c r="C583" t="s">
        <v>985</v>
      </c>
      <c r="D583" s="7">
        <v>12764.02</v>
      </c>
      <c r="E583" t="s">
        <v>964</v>
      </c>
      <c r="F583" s="9">
        <v>46287</v>
      </c>
    </row>
    <row r="584" spans="3:6">
      <c r="C584" t="s">
        <v>987</v>
      </c>
      <c r="D584" s="7">
        <v>669.3</v>
      </c>
      <c r="E584" t="s">
        <v>964</v>
      </c>
      <c r="F584" s="9">
        <v>46288</v>
      </c>
    </row>
    <row r="585" spans="3:6">
      <c r="C585" t="s">
        <v>988</v>
      </c>
      <c r="D585" s="7">
        <v>3492</v>
      </c>
      <c r="E585" t="s">
        <v>964</v>
      </c>
      <c r="F585" s="9">
        <v>46288</v>
      </c>
    </row>
    <row r="586" spans="3:6">
      <c r="C586" t="s">
        <v>989</v>
      </c>
      <c r="D586" s="7">
        <v>5995</v>
      </c>
      <c r="E586" t="s">
        <v>964</v>
      </c>
      <c r="F586" s="9">
        <v>46288</v>
      </c>
    </row>
    <row r="587" spans="3:6">
      <c r="C587" t="s">
        <v>990</v>
      </c>
      <c r="D587" s="7">
        <v>136.41999999999999</v>
      </c>
      <c r="E587" t="s">
        <v>885</v>
      </c>
      <c r="F587" s="9">
        <v>46294</v>
      </c>
    </row>
    <row r="588" spans="3:6">
      <c r="C588" t="s">
        <v>991</v>
      </c>
      <c r="D588" s="7">
        <v>54.02</v>
      </c>
      <c r="E588" t="s">
        <v>885</v>
      </c>
      <c r="F588" s="9">
        <v>46294</v>
      </c>
    </row>
    <row r="589" spans="3:6">
      <c r="C589" t="s">
        <v>992</v>
      </c>
      <c r="D589" s="7">
        <v>5392.6</v>
      </c>
      <c r="E589" t="s">
        <v>885</v>
      </c>
      <c r="F589" s="9">
        <v>46294</v>
      </c>
    </row>
    <row r="590" spans="3:6">
      <c r="C590" t="s">
        <v>993</v>
      </c>
      <c r="D590" s="7">
        <v>53.1</v>
      </c>
      <c r="E590" t="s">
        <v>885</v>
      </c>
      <c r="F590" s="9">
        <v>46294</v>
      </c>
    </row>
    <row r="591" spans="3:6">
      <c r="C591" t="s">
        <v>163</v>
      </c>
      <c r="D591" s="7">
        <v>46.86</v>
      </c>
      <c r="E591" t="s">
        <v>885</v>
      </c>
      <c r="F591" s="9">
        <v>46294</v>
      </c>
    </row>
    <row r="592" spans="3:6">
      <c r="C592" t="s">
        <v>994</v>
      </c>
      <c r="D592" s="7">
        <v>452.07</v>
      </c>
      <c r="E592" t="s">
        <v>885</v>
      </c>
      <c r="F592" s="9">
        <v>46296</v>
      </c>
    </row>
    <row r="593" spans="3:6">
      <c r="C593" t="s">
        <v>995</v>
      </c>
      <c r="D593" s="7">
        <v>363.43</v>
      </c>
      <c r="E593" t="s">
        <v>885</v>
      </c>
      <c r="F593" s="9">
        <v>46296</v>
      </c>
    </row>
    <row r="594" spans="3:6">
      <c r="C594" t="s">
        <v>996</v>
      </c>
      <c r="D594" s="7">
        <v>2550.87</v>
      </c>
      <c r="E594" t="s">
        <v>885</v>
      </c>
      <c r="F594" s="9">
        <v>46296</v>
      </c>
    </row>
    <row r="595" spans="3:6">
      <c r="C595" t="s">
        <v>997</v>
      </c>
      <c r="D595" s="7">
        <v>609.65</v>
      </c>
      <c r="E595" t="s">
        <v>885</v>
      </c>
      <c r="F595" s="9">
        <v>46296</v>
      </c>
    </row>
    <row r="596" spans="3:6">
      <c r="C596" t="s">
        <v>998</v>
      </c>
      <c r="D596" s="7">
        <v>10823</v>
      </c>
      <c r="E596" t="s">
        <v>885</v>
      </c>
      <c r="F596" s="9">
        <v>46296</v>
      </c>
    </row>
    <row r="597" spans="3:6">
      <c r="C597" t="s">
        <v>999</v>
      </c>
      <c r="D597" s="7">
        <v>5665</v>
      </c>
      <c r="E597" t="s">
        <v>1000</v>
      </c>
      <c r="F597" s="9">
        <v>46298</v>
      </c>
    </row>
    <row r="598" spans="3:6">
      <c r="C598" t="s">
        <v>1001</v>
      </c>
      <c r="D598" s="7">
        <v>507.98</v>
      </c>
      <c r="E598" t="s">
        <v>885</v>
      </c>
      <c r="F598" s="9">
        <v>46304</v>
      </c>
    </row>
    <row r="599" spans="3:6">
      <c r="C599" t="s">
        <v>1002</v>
      </c>
      <c r="D599" s="7">
        <v>536.25</v>
      </c>
      <c r="E599" t="s">
        <v>885</v>
      </c>
      <c r="F599" s="9">
        <v>46304</v>
      </c>
    </row>
    <row r="600" spans="3:6">
      <c r="C600" t="s">
        <v>1003</v>
      </c>
      <c r="D600" s="7">
        <v>84.82</v>
      </c>
      <c r="E600" t="s">
        <v>885</v>
      </c>
      <c r="F600" s="9">
        <v>46304</v>
      </c>
    </row>
    <row r="601" spans="3:6">
      <c r="C601" t="s">
        <v>1004</v>
      </c>
      <c r="D601" s="7">
        <v>206.4</v>
      </c>
      <c r="E601" t="s">
        <v>885</v>
      </c>
      <c r="F601" s="9">
        <v>46304</v>
      </c>
    </row>
    <row r="602" spans="3:6">
      <c r="C602" t="s">
        <v>1005</v>
      </c>
      <c r="D602" s="7">
        <v>300.64</v>
      </c>
      <c r="E602" t="s">
        <v>885</v>
      </c>
      <c r="F602" s="9">
        <v>46304</v>
      </c>
    </row>
    <row r="603" spans="3:6">
      <c r="C603" t="s">
        <v>1006</v>
      </c>
      <c r="D603" s="7">
        <f>6607.56+1450.35</f>
        <v>8057.91</v>
      </c>
      <c r="E603" t="s">
        <v>885</v>
      </c>
      <c r="F603" s="9">
        <v>46304</v>
      </c>
    </row>
    <row r="604" spans="3:6">
      <c r="C604" t="s">
        <v>1008</v>
      </c>
      <c r="D604" s="7">
        <v>78142</v>
      </c>
      <c r="E604" t="s">
        <v>1007</v>
      </c>
      <c r="F604" s="9">
        <v>46306</v>
      </c>
    </row>
    <row r="605" spans="3:6">
      <c r="D605" s="7"/>
      <c r="F605" s="9"/>
    </row>
    <row r="606" spans="3:6">
      <c r="D606" s="7"/>
      <c r="F606" s="9"/>
    </row>
    <row r="607" spans="3:6">
      <c r="D607" s="7"/>
      <c r="F607" s="9"/>
    </row>
    <row r="608" spans="3:6">
      <c r="D608" s="7"/>
      <c r="F608" s="9"/>
    </row>
    <row r="609" spans="4:6">
      <c r="D609" s="7"/>
      <c r="F609" s="9"/>
    </row>
    <row r="610" spans="4:6">
      <c r="D610" s="7"/>
      <c r="F610" s="9"/>
    </row>
    <row r="611" spans="4:6">
      <c r="D611" s="7"/>
      <c r="F611" s="9"/>
    </row>
    <row r="612" spans="4:6">
      <c r="D612" s="7">
        <f>SUBTOTAL(109,Таблица4[Цена (руб)])</f>
        <v>6551703.5600000015</v>
      </c>
      <c r="F612" s="9"/>
    </row>
  </sheetData>
  <hyperlinks>
    <hyperlink ref="C124" r:id="rId1" display="https://service.leroymerlin.ru/ru/go2_link_tracker?uid=NDgwNjQyMQ~~&amp;hash=UbsDJ9aXeZC_DIR0aAj_WoX3CD0Iui9ekQbWnlL2Wl8UDZtm4k41nLNFo-rCriI4cekbwAM5OQYX0SF7C3ScJXr_7utG1-vtr8IIPLg4-3ee-eZ6CqcSppGomWeFtz0QcOF-9audykj74_ei7DBBlvRs1HcoBJg4QdFyybhbTnK5ewmy9I0lRdAngr2RN33O6_s9CQCzOfigY33ClgYB3z83CMBhs0fGgfqDwnFf4fhybqreSNW2nCVeCGifz4eSjYQ8SIQKJtBqJTCMGgM3ApyIsPfcherC4GPgCMMJnXrUyVXtq6V0fQFIzuUSMXfjd2h4q3kKVfk~&amp;url=aHR0cHM6Ly9rYWxpbmluZ3JhZC5sZXJveW1lcmxpbi5ydS9wcm9kdWN0L3NldGthLWtsYWRvY2huYXlhLXNodHJlay0xNXgxMjV4MDR4OTAtbW0tMjAtbS0xODQ2Mzg4MD9mcm9tbT1CMkJfZGVsaXZlcnk~&amp;ucs=958ddce0e82982951dafeb5fa6a5d099"/>
    <hyperlink ref="C121" r:id="rId2" display="https://service.leroymerlin.ru/ru/go2_link_tracker?uid=NDgwNjQyMQ~~&amp;hash=UbsDJ9aXeZCW9ejATz0-4oX3CD0Iui9ekQbWnlL2Wl8UDZtm4k41nLNFo-rCriI4cekbwAM5OQYX0SF7C3ScJXr_7utG1-vtr8IIPLg4-3ee-eZ6CqcSppGomWeFtz0QcOF-9audykj74_ei7DBBlvRs1HcoBJg4QdFyybhbTnK5ewmy9I0lRdAngr2RN33O6_s9CQCzOfigY33ClgYB3z83CMBhs0fGgfqDwnFf4fhybqreSNW2nCVeCGifz4eSjYQ8SIQKJtCb4PE9IiKruSS8XddKLNSj7DVO-nyGp3uRm2c9fnwHZO4WKZ_QDq1_d2h4q3kKVfk~&amp;url=aHR0cHM6Ly9rYWxpbmluZ3JhZC5sZXJveW1lcmxpbi5ydS9wcm9kdWN0L2JldG9ub3NtZXNpdGVsLWtyb253ZXJrLTEyMC1sLTUwMC12dC04MjczOTMyMz9mcm9tbT1CMkJfZGVsaXZlcnk~&amp;ucs=c5d8bd1db3da790fa3adb41e3628e8d1"/>
    <hyperlink ref="C125" r:id="rId3" display="https://service.leroymerlin.ru/ru/go2_link_tracker?uid=NDgwNjQyMQ~~&amp;hash=UbsDJ9aXeZCcGvE66IJxw4X3CD0Iui9ekQbWnlL2Wl8UDZtm4k41nLNFo-rCriI4cekbwAM5OQYX0SF7C3ScJXr_7utG1-vtr8IIPLg4-3ee-eZ6CqcSppGomWeFtz0QcOF-9audykj74_ei7DBBlvRs1HcoBJg4QdFyybhbTnK5ewmy9I0lRdAngr2RN33O6_s9CQCzOfigY33ClgYB3z83CMBhs0fGgfqDwnFf4fhybqreSNW2nCVeCGifz4eSjYQ8SIQKJtDBK2v8h-jvSahK3Up4ywKoGxFyMmWlvnxLsf8UlvV8serFpz1qJVVZd2h4q3kKVfk~&amp;url=aHR0cHM6Ly9rYWxpbmluZ3JhZC5sZXJveW1lcmxpbi5ydS9wcm9kdWN0L2dlb3Rla3N0aWwtaWdsb3Byb2Jpdm5veS1heHRvbi0xeDUwLW0tMTUwLWctbS04NTQ3ODMwMj9mcm9tbT1CMkJfZGVsaXZlcnk~&amp;ucs=4026f772799a55da24015fb4f546aa8a"/>
    <hyperlink ref="C132" r:id="rId4" display="http://baucenter.ru/product/tsement-i-42-5-h-m500-d0-25-kg-ctg-29116-29171-29172-511001507/"/>
    <hyperlink ref="C133" r:id="rId5" display="http://baucenter.ru/product/otsechnaya-gidroizolyatsiya-0-4kh20-m-ctg-29116-30768-30780-528000348/"/>
    <hyperlink ref="C134" r:id="rId6" display="http://baucenter.ru/product/truba-vest-plast-pnd-d32kh2-mm-25-m-ctg-29189-30544-30556-440000544/"/>
    <hyperlink ref="C135" r:id="rId7" display="http://baucenter.ru/product/maklovitsa-korvus-150kh70-mm-ctg-29290-30646-30652-700000213/"/>
  </hyperlinks>
  <pageMargins left="0.7" right="0.7" top="0.75" bottom="0.75" header="0.3" footer="0.3"/>
  <pageSetup paperSize="9"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"/>
  <sheetViews>
    <sheetView workbookViewId="0">
      <selection activeCell="J20" sqref="J20"/>
    </sheetView>
  </sheetViews>
  <sheetFormatPr defaultRowHeight="15"/>
  <cols>
    <col min="2" max="2" width="40.140625" customWidth="1"/>
    <col min="3" max="3" width="13.85546875" customWidth="1"/>
    <col min="4" max="4" width="39.5703125" customWidth="1"/>
    <col min="5" max="5" width="13.42578125" customWidth="1"/>
    <col min="6" max="6" width="14.140625" customWidth="1"/>
    <col min="10" max="10" width="64.5703125" customWidth="1"/>
    <col min="11" max="11" width="14.85546875" customWidth="1"/>
    <col min="12" max="12" width="12" bestFit="1" customWidth="1"/>
  </cols>
  <sheetData>
    <row r="2" spans="2:12">
      <c r="J2" t="s">
        <v>173</v>
      </c>
    </row>
    <row r="3" spans="2:12">
      <c r="B3" t="s">
        <v>343</v>
      </c>
      <c r="C3" t="s">
        <v>899</v>
      </c>
      <c r="D3" t="s">
        <v>903</v>
      </c>
      <c r="E3" t="s">
        <v>1</v>
      </c>
      <c r="I3" t="s">
        <v>949</v>
      </c>
      <c r="J3" t="s">
        <v>951</v>
      </c>
      <c r="K3" t="s">
        <v>703</v>
      </c>
      <c r="L3" t="s">
        <v>950</v>
      </c>
    </row>
    <row r="4" spans="2:12">
      <c r="B4" t="s">
        <v>902</v>
      </c>
      <c r="C4">
        <v>1160.52</v>
      </c>
      <c r="D4">
        <f t="shared" ref="D4:D12" si="0">C4*2</f>
        <v>2321.04</v>
      </c>
      <c r="I4">
        <v>1</v>
      </c>
      <c r="J4" s="61" t="s">
        <v>952</v>
      </c>
      <c r="K4" t="s">
        <v>953</v>
      </c>
      <c r="L4" s="62">
        <v>25800</v>
      </c>
    </row>
    <row r="5" spans="2:12">
      <c r="B5" t="s">
        <v>904</v>
      </c>
      <c r="C5">
        <v>680</v>
      </c>
      <c r="D5">
        <f t="shared" si="0"/>
        <v>1360</v>
      </c>
      <c r="I5">
        <v>2</v>
      </c>
      <c r="J5" s="61" t="s">
        <v>954</v>
      </c>
      <c r="K5" t="s">
        <v>955</v>
      </c>
      <c r="L5" s="62">
        <v>9490</v>
      </c>
    </row>
    <row r="6" spans="2:12">
      <c r="B6" t="s">
        <v>905</v>
      </c>
      <c r="C6">
        <v>1187.5</v>
      </c>
      <c r="D6">
        <f t="shared" si="0"/>
        <v>2375</v>
      </c>
      <c r="I6">
        <v>3</v>
      </c>
      <c r="J6" s="61" t="s">
        <v>956</v>
      </c>
      <c r="K6" t="s">
        <v>955</v>
      </c>
      <c r="L6" s="62">
        <v>13990</v>
      </c>
    </row>
    <row r="7" spans="2:12">
      <c r="B7" t="s">
        <v>906</v>
      </c>
      <c r="C7">
        <v>721.65</v>
      </c>
      <c r="D7">
        <f t="shared" si="0"/>
        <v>1443.3</v>
      </c>
      <c r="I7" t="s">
        <v>957</v>
      </c>
      <c r="L7" s="62">
        <f>SUM(L4:L6)</f>
        <v>49280</v>
      </c>
    </row>
    <row r="8" spans="2:12">
      <c r="B8" t="s">
        <v>907</v>
      </c>
      <c r="C8">
        <v>383.66</v>
      </c>
      <c r="D8">
        <f t="shared" si="0"/>
        <v>767.32</v>
      </c>
      <c r="L8" s="62"/>
    </row>
    <row r="9" spans="2:12">
      <c r="B9" t="s">
        <v>908</v>
      </c>
      <c r="C9">
        <v>1368.97</v>
      </c>
      <c r="D9">
        <f t="shared" si="0"/>
        <v>2737.94</v>
      </c>
      <c r="J9" t="s">
        <v>608</v>
      </c>
    </row>
    <row r="10" spans="2:12">
      <c r="B10" t="s">
        <v>909</v>
      </c>
      <c r="C10">
        <v>1311.86</v>
      </c>
      <c r="D10">
        <f t="shared" si="0"/>
        <v>2623.72</v>
      </c>
      <c r="I10" t="s">
        <v>949</v>
      </c>
      <c r="J10" t="s">
        <v>951</v>
      </c>
      <c r="K10" t="s">
        <v>703</v>
      </c>
      <c r="L10" t="s">
        <v>950</v>
      </c>
    </row>
    <row r="11" spans="2:12">
      <c r="B11" t="s">
        <v>910</v>
      </c>
      <c r="C11">
        <v>1116.8699999999999</v>
      </c>
      <c r="D11">
        <f t="shared" si="0"/>
        <v>2233.7399999999998</v>
      </c>
      <c r="I11">
        <v>1</v>
      </c>
      <c r="J11" s="63" t="s">
        <v>959</v>
      </c>
      <c r="K11" t="s">
        <v>955</v>
      </c>
      <c r="L11" s="62">
        <v>7290</v>
      </c>
    </row>
    <row r="12" spans="2:12">
      <c r="B12" t="s">
        <v>911</v>
      </c>
      <c r="C12">
        <v>1477.63</v>
      </c>
      <c r="D12">
        <f t="shared" si="0"/>
        <v>2955.26</v>
      </c>
      <c r="J12" s="63" t="s">
        <v>958</v>
      </c>
      <c r="K12" t="s">
        <v>955</v>
      </c>
      <c r="L12" s="62">
        <v>7590</v>
      </c>
    </row>
    <row r="13" spans="2:12">
      <c r="B13" t="s">
        <v>550</v>
      </c>
      <c r="D13">
        <f>SUM(D4:D12)</f>
        <v>18817.32</v>
      </c>
      <c r="E13" s="21" t="s">
        <v>912</v>
      </c>
      <c r="F13">
        <f>D13/100</f>
        <v>188.17320000000001</v>
      </c>
      <c r="J13" s="63" t="s">
        <v>960</v>
      </c>
      <c r="K13" t="s">
        <v>955</v>
      </c>
      <c r="L13" s="62">
        <v>11190</v>
      </c>
    </row>
    <row r="14" spans="2:12" ht="25.5">
      <c r="J14" s="63" t="s">
        <v>961</v>
      </c>
      <c r="K14" t="s">
        <v>955</v>
      </c>
      <c r="L14" s="62">
        <v>11590</v>
      </c>
    </row>
    <row r="15" spans="2:12">
      <c r="L15" s="62"/>
    </row>
    <row r="16" spans="2:12">
      <c r="J16" t="s">
        <v>497</v>
      </c>
      <c r="L16" s="62"/>
    </row>
    <row r="17" spans="9:12">
      <c r="I17" t="s">
        <v>949</v>
      </c>
      <c r="J17" t="s">
        <v>951</v>
      </c>
      <c r="K17" t="s">
        <v>703</v>
      </c>
      <c r="L17" s="62" t="s">
        <v>950</v>
      </c>
    </row>
    <row r="18" spans="9:12">
      <c r="J18" s="64" t="s">
        <v>962</v>
      </c>
      <c r="K18" t="s">
        <v>955</v>
      </c>
      <c r="L18" s="62">
        <v>11248</v>
      </c>
    </row>
    <row r="19" spans="9:12">
      <c r="J19" s="64" t="s">
        <v>963</v>
      </c>
      <c r="K19" t="s">
        <v>955</v>
      </c>
      <c r="L19" s="62">
        <v>7626</v>
      </c>
    </row>
    <row r="20" spans="9:12">
      <c r="L20" s="62"/>
    </row>
    <row r="21" spans="9:12">
      <c r="L21" s="62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"/>
  <sheetViews>
    <sheetView workbookViewId="0">
      <selection activeCell="H17" sqref="H17"/>
    </sheetView>
  </sheetViews>
  <sheetFormatPr defaultRowHeight="15"/>
  <cols>
    <col min="2" max="2" width="21.28515625" customWidth="1"/>
    <col min="3" max="3" width="18.85546875" customWidth="1"/>
    <col min="4" max="4" width="16.140625" customWidth="1"/>
    <col min="5" max="5" width="25.28515625" customWidth="1"/>
    <col min="6" max="6" width="27" customWidth="1"/>
    <col min="7" max="7" width="62.140625" customWidth="1"/>
    <col min="11" max="11" width="31" customWidth="1"/>
    <col min="12" max="12" width="18.7109375" customWidth="1"/>
    <col min="13" max="13" width="20" customWidth="1"/>
  </cols>
  <sheetData>
    <row r="2" spans="2:13">
      <c r="B2" t="s">
        <v>858</v>
      </c>
      <c r="C2" t="s">
        <v>864</v>
      </c>
      <c r="D2" t="s">
        <v>865</v>
      </c>
      <c r="E2" t="s">
        <v>866</v>
      </c>
      <c r="F2" t="s">
        <v>870</v>
      </c>
      <c r="G2" t="s">
        <v>1</v>
      </c>
      <c r="K2" t="s">
        <v>867</v>
      </c>
      <c r="L2" t="s">
        <v>868</v>
      </c>
      <c r="M2" t="s">
        <v>863</v>
      </c>
    </row>
    <row r="3" spans="2:13">
      <c r="B3" t="s">
        <v>859</v>
      </c>
      <c r="C3">
        <v>13</v>
      </c>
      <c r="D3">
        <v>3.47</v>
      </c>
      <c r="E3">
        <f t="shared" ref="E3" si="0">M3*2+M7</f>
        <v>9.7199999999999989</v>
      </c>
      <c r="F3">
        <f>Таблица24[[#This Row],[ширина (м)]]*Таблица24[[#This Row],[высота (м)]]-Таблица24[[#This Row],[площадь проёмов (м2)]]</f>
        <v>35.39</v>
      </c>
      <c r="G3" t="s">
        <v>871</v>
      </c>
      <c r="K3">
        <v>1.51</v>
      </c>
      <c r="L3">
        <v>1.8</v>
      </c>
      <c r="M3">
        <f>K3*L3</f>
        <v>2.718</v>
      </c>
    </row>
    <row r="4" spans="2:13">
      <c r="B4" t="s">
        <v>860</v>
      </c>
      <c r="C4">
        <v>13</v>
      </c>
      <c r="D4">
        <v>3.47</v>
      </c>
      <c r="E4">
        <f>M10+(M3*2)+M13</f>
        <v>10.155000000000001</v>
      </c>
      <c r="F4">
        <f>Таблица24[[#This Row],[ширина (м)]]*Таблица24[[#This Row],[высота (м)]]-Таблица24[[#This Row],[площадь проёмов (м2)]]</f>
        <v>34.954999999999998</v>
      </c>
    </row>
    <row r="5" spans="2:13">
      <c r="B5" t="s">
        <v>861</v>
      </c>
      <c r="C5">
        <v>11.85</v>
      </c>
      <c r="D5">
        <v>3.47</v>
      </c>
      <c r="E5">
        <v>1.359</v>
      </c>
      <c r="F5">
        <f>Таблица24[[#This Row],[ширина (м)]]*Таблица24[[#This Row],[высота (м)]]-Таблица24[[#This Row],[площадь проёмов (м2)]]</f>
        <v>39.7605</v>
      </c>
      <c r="G5" t="s">
        <v>874</v>
      </c>
    </row>
    <row r="6" spans="2:13">
      <c r="B6" t="s">
        <v>862</v>
      </c>
      <c r="C6">
        <v>11.85</v>
      </c>
      <c r="D6">
        <v>3.47</v>
      </c>
      <c r="E6">
        <f>M3*2</f>
        <v>5.4359999999999999</v>
      </c>
      <c r="F6">
        <f>Таблица24[[#This Row],[ширина (м)]]*Таблица24[[#This Row],[высота (м)]]-Таблица24[[#This Row],[площадь проёмов (м2)]]</f>
        <v>35.683500000000002</v>
      </c>
      <c r="G6" t="s">
        <v>875</v>
      </c>
      <c r="K6" t="s">
        <v>869</v>
      </c>
      <c r="L6" t="s">
        <v>864</v>
      </c>
      <c r="M6" t="s">
        <v>863</v>
      </c>
    </row>
    <row r="7" spans="2:13">
      <c r="B7" t="s">
        <v>18</v>
      </c>
      <c r="E7" s="56"/>
      <c r="F7" s="56">
        <f>SUM(F3:F6)</f>
        <v>145.78900000000002</v>
      </c>
      <c r="G7" t="s">
        <v>876</v>
      </c>
      <c r="K7">
        <v>2.38</v>
      </c>
      <c r="L7">
        <v>1.8</v>
      </c>
      <c r="M7">
        <f>K7*L7</f>
        <v>4.2839999999999998</v>
      </c>
    </row>
    <row r="9" spans="2:13">
      <c r="K9" t="s">
        <v>872</v>
      </c>
      <c r="L9" t="s">
        <v>868</v>
      </c>
      <c r="M9" t="s">
        <v>863</v>
      </c>
    </row>
    <row r="10" spans="2:13">
      <c r="K10">
        <v>1.51</v>
      </c>
      <c r="L10">
        <v>0.9</v>
      </c>
      <c r="M10">
        <f>K10*L10</f>
        <v>1.359</v>
      </c>
    </row>
    <row r="12" spans="2:13">
      <c r="K12" t="s">
        <v>873</v>
      </c>
      <c r="L12" t="s">
        <v>864</v>
      </c>
      <c r="M12" t="s">
        <v>863</v>
      </c>
    </row>
    <row r="13" spans="2:13">
      <c r="K13">
        <v>2.1</v>
      </c>
      <c r="L13">
        <v>1.6</v>
      </c>
      <c r="M13">
        <f>K13*L13</f>
        <v>3.3600000000000003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8"/>
  <sheetViews>
    <sheetView workbookViewId="0">
      <selection activeCell="J15" sqref="J15"/>
    </sheetView>
  </sheetViews>
  <sheetFormatPr defaultRowHeight="15"/>
  <cols>
    <col min="2" max="2" width="18.7109375" customWidth="1"/>
  </cols>
  <sheetData>
    <row r="3" spans="2:4">
      <c r="B3" t="s">
        <v>343</v>
      </c>
      <c r="C3" s="23" t="s">
        <v>448</v>
      </c>
    </row>
    <row r="4" spans="2:4">
      <c r="B4" t="s">
        <v>445</v>
      </c>
      <c r="C4">
        <v>0.47</v>
      </c>
    </row>
    <row r="5" spans="2:4">
      <c r="B5" t="s">
        <v>446</v>
      </c>
      <c r="C5">
        <v>0.12</v>
      </c>
    </row>
    <row r="6" spans="2:4">
      <c r="B6" t="s">
        <v>447</v>
      </c>
      <c r="C6">
        <v>0.54</v>
      </c>
    </row>
    <row r="7" spans="2:4">
      <c r="B7" t="s">
        <v>449</v>
      </c>
      <c r="C7">
        <v>0.13</v>
      </c>
    </row>
    <row r="8" spans="2:4">
      <c r="B8" t="s">
        <v>450</v>
      </c>
      <c r="C8">
        <v>0.45</v>
      </c>
    </row>
    <row r="9" spans="2:4">
      <c r="B9" t="s">
        <v>451</v>
      </c>
      <c r="C9">
        <v>0.26</v>
      </c>
    </row>
    <row r="10" spans="2:4">
      <c r="B10" t="s">
        <v>452</v>
      </c>
      <c r="C10">
        <v>0.56999999999999995</v>
      </c>
    </row>
    <row r="11" spans="2:4">
      <c r="B11" t="s">
        <v>453</v>
      </c>
      <c r="C11">
        <v>0.45</v>
      </c>
    </row>
    <row r="12" spans="2:4">
      <c r="B12" t="s">
        <v>454</v>
      </c>
      <c r="C12">
        <v>0.3</v>
      </c>
    </row>
    <row r="13" spans="2:4">
      <c r="B13" t="s">
        <v>455</v>
      </c>
      <c r="C13">
        <v>7.0000000000000007E-2</v>
      </c>
    </row>
    <row r="14" spans="2:4">
      <c r="B14" t="s">
        <v>456</v>
      </c>
      <c r="C14">
        <v>0.27</v>
      </c>
    </row>
    <row r="15" spans="2:4">
      <c r="B15" t="s">
        <v>457</v>
      </c>
      <c r="C15">
        <v>0.51</v>
      </c>
    </row>
    <row r="16" spans="2:4">
      <c r="B16" s="35" t="s">
        <v>18</v>
      </c>
      <c r="C16" s="35">
        <f>SUM(C4:C15)</f>
        <v>4.1399999999999997</v>
      </c>
      <c r="D16" s="21" t="s">
        <v>448</v>
      </c>
    </row>
    <row r="18" spans="3:3">
      <c r="C18" s="11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15"/>
  <sheetViews>
    <sheetView workbookViewId="0">
      <selection activeCell="K14" sqref="K14"/>
    </sheetView>
  </sheetViews>
  <sheetFormatPr defaultRowHeight="15"/>
  <cols>
    <col min="3" max="3" width="21.28515625" customWidth="1"/>
    <col min="4" max="4" width="18.85546875" customWidth="1"/>
    <col min="9" max="9" width="16" customWidth="1"/>
  </cols>
  <sheetData>
    <row r="3" spans="3:12">
      <c r="C3" s="11" t="s">
        <v>458</v>
      </c>
      <c r="D3" t="s">
        <v>460</v>
      </c>
      <c r="E3" t="s">
        <v>459</v>
      </c>
      <c r="G3">
        <v>11</v>
      </c>
      <c r="I3">
        <f>200 *100*6000</f>
        <v>120000000</v>
      </c>
      <c r="J3" t="s">
        <v>463</v>
      </c>
      <c r="K3">
        <v>0.12</v>
      </c>
      <c r="L3" t="s">
        <v>448</v>
      </c>
    </row>
    <row r="4" spans="3:12">
      <c r="G4">
        <v>12</v>
      </c>
    </row>
    <row r="5" spans="3:12">
      <c r="G5">
        <v>12</v>
      </c>
    </row>
    <row r="6" spans="3:12">
      <c r="G6">
        <v>9</v>
      </c>
    </row>
    <row r="7" spans="3:12">
      <c r="G7">
        <v>3</v>
      </c>
    </row>
    <row r="8" spans="3:12">
      <c r="G8">
        <v>4</v>
      </c>
    </row>
    <row r="9" spans="3:12">
      <c r="G9">
        <v>3</v>
      </c>
    </row>
    <row r="10" spans="3:12">
      <c r="F10" t="s">
        <v>461</v>
      </c>
      <c r="G10">
        <f>SUM(G3:G9)</f>
        <v>54</v>
      </c>
    </row>
    <row r="14" spans="3:12">
      <c r="G14">
        <v>55</v>
      </c>
      <c r="H14">
        <f>G14*K3</f>
        <v>6.6</v>
      </c>
      <c r="I14" t="s">
        <v>448</v>
      </c>
    </row>
    <row r="15" spans="3:12">
      <c r="G15" s="23" t="s">
        <v>462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8"/>
  <sheetViews>
    <sheetView workbookViewId="0">
      <selection activeCell="D32" sqref="D32"/>
    </sheetView>
  </sheetViews>
  <sheetFormatPr defaultRowHeight="15"/>
  <cols>
    <col min="1" max="1" width="9.140625" customWidth="1"/>
    <col min="2" max="2" width="40.7109375" customWidth="1"/>
    <col min="3" max="3" width="24.5703125" customWidth="1"/>
    <col min="4" max="4" width="32.28515625" customWidth="1"/>
    <col min="5" max="5" width="42.5703125" customWidth="1"/>
    <col min="6" max="6" width="104.140625" customWidth="1"/>
  </cols>
  <sheetData>
    <row r="3" spans="1:6" ht="21">
      <c r="B3" s="2" t="s">
        <v>23</v>
      </c>
    </row>
    <row r="4" spans="1:6">
      <c r="A4" t="s">
        <v>0</v>
      </c>
      <c r="B4" t="s">
        <v>4</v>
      </c>
      <c r="C4" t="s">
        <v>5</v>
      </c>
      <c r="D4" t="s">
        <v>8</v>
      </c>
      <c r="E4" t="s">
        <v>7</v>
      </c>
      <c r="F4" t="s">
        <v>6</v>
      </c>
    </row>
    <row r="5" spans="1:6">
      <c r="A5">
        <v>1</v>
      </c>
      <c r="B5" t="s">
        <v>3</v>
      </c>
      <c r="C5">
        <v>45</v>
      </c>
      <c r="D5" s="3">
        <v>7000</v>
      </c>
      <c r="E5" s="3">
        <f>Таблица2[[#This Row],[Цена  (м3 или штук)]]*Таблица2[[#This Row],[Количество (М3/шт)]]</f>
        <v>315000</v>
      </c>
      <c r="F5" t="s">
        <v>9</v>
      </c>
    </row>
    <row r="6" spans="1:6">
      <c r="A6">
        <v>2</v>
      </c>
      <c r="B6" t="s">
        <v>11</v>
      </c>
      <c r="C6">
        <v>15.3</v>
      </c>
      <c r="D6" s="3">
        <v>7000</v>
      </c>
      <c r="E6" s="3">
        <f>Таблица2[[#This Row],[Цена  (м3 или штук)]]*Таблица2[[#This Row],[Количество (М3/шт)]]</f>
        <v>107100</v>
      </c>
      <c r="F6" t="s">
        <v>10</v>
      </c>
    </row>
    <row r="7" spans="1:6">
      <c r="A7">
        <v>3</v>
      </c>
      <c r="B7" t="s">
        <v>12</v>
      </c>
      <c r="C7">
        <v>8</v>
      </c>
      <c r="D7" s="3">
        <v>8000</v>
      </c>
      <c r="E7" s="3">
        <f>Таблица2[[#This Row],[Цена  (м3 или штук)]]*Таблица2[[#This Row],[Количество (М3/шт)]]</f>
        <v>64000</v>
      </c>
      <c r="F7" t="s">
        <v>13</v>
      </c>
    </row>
    <row r="8" spans="1:6">
      <c r="A8">
        <v>4</v>
      </c>
      <c r="B8" t="s">
        <v>14</v>
      </c>
      <c r="C8">
        <v>137</v>
      </c>
      <c r="D8" s="3">
        <v>680</v>
      </c>
      <c r="E8" s="3">
        <f>Таблица2[[#This Row],[Цена  (м3 или штук)]]*Таблица2[[#This Row],[Количество (М3/шт)]]</f>
        <v>93160</v>
      </c>
      <c r="F8" t="s">
        <v>15</v>
      </c>
    </row>
    <row r="9" spans="1:6">
      <c r="A9">
        <v>5</v>
      </c>
      <c r="B9" t="s">
        <v>17</v>
      </c>
      <c r="C9">
        <v>12</v>
      </c>
      <c r="D9" s="3">
        <v>435</v>
      </c>
      <c r="E9" s="3">
        <f>Таблица2[[#This Row],[Цена  (м3 или штук)]]*Таблица2[[#This Row],[Количество (М3/шт)]]</f>
        <v>5220</v>
      </c>
      <c r="F9" t="s">
        <v>16</v>
      </c>
    </row>
    <row r="10" spans="1:6">
      <c r="A10">
        <v>6</v>
      </c>
      <c r="B10" t="s">
        <v>19</v>
      </c>
      <c r="C10">
        <v>5.4</v>
      </c>
      <c r="D10" s="3"/>
      <c r="E10" s="3">
        <f>Таблица2[[#This Row],[Цена  (м3 или штук)]]*Таблица2[[#This Row],[Количество (М3/шт)]]</f>
        <v>0</v>
      </c>
      <c r="F10" t="s">
        <v>20</v>
      </c>
    </row>
    <row r="11" spans="1:6">
      <c r="A11">
        <v>7</v>
      </c>
      <c r="B11" s="6" t="s">
        <v>21</v>
      </c>
      <c r="D11" s="3"/>
      <c r="E11" s="3">
        <f>Таблица2[[#This Row],[Цена  (м3 или штук)]]*Таблица2[[#This Row],[Количество (М3/шт)]]</f>
        <v>0</v>
      </c>
      <c r="F11" s="1" t="s">
        <v>36</v>
      </c>
    </row>
    <row r="12" spans="1:6">
      <c r="A12">
        <v>8</v>
      </c>
      <c r="B12" t="s">
        <v>22</v>
      </c>
      <c r="D12" s="3"/>
      <c r="E12" s="3">
        <f>Таблица2[[#This Row],[Цена  (м3 или штук)]]*Таблица2[[#This Row],[Количество (М3/шт)]]</f>
        <v>0</v>
      </c>
    </row>
    <row r="13" spans="1:6">
      <c r="A13">
        <v>9</v>
      </c>
      <c r="B13" t="s">
        <v>24</v>
      </c>
      <c r="D13" s="3"/>
      <c r="E13" s="3">
        <f>Таблица2[[#This Row],[Цена  (м3 или штук)]]*Таблица2[[#This Row],[Количество (М3/шт)]]</f>
        <v>0</v>
      </c>
    </row>
    <row r="14" spans="1:6">
      <c r="A14">
        <v>10</v>
      </c>
      <c r="B14" t="s">
        <v>25</v>
      </c>
      <c r="D14" s="3"/>
      <c r="E14" s="3">
        <f>Таблица2[[#This Row],[Цена  (м3 или штук)]]*Таблица2[[#This Row],[Количество (М3/шт)]]</f>
        <v>0</v>
      </c>
    </row>
    <row r="15" spans="1:6">
      <c r="A15">
        <v>11</v>
      </c>
      <c r="B15" t="s">
        <v>26</v>
      </c>
      <c r="D15" s="3"/>
      <c r="E15" s="3">
        <f>Таблица2[[#This Row],[Цена  (м3 или штук)]]*Таблица2[[#This Row],[Количество (М3/шт)]]</f>
        <v>0</v>
      </c>
    </row>
    <row r="16" spans="1:6">
      <c r="A16">
        <v>12</v>
      </c>
      <c r="B16" t="s">
        <v>27</v>
      </c>
      <c r="D16" s="3"/>
      <c r="E16" s="3">
        <f>Таблица2[[#This Row],[Цена  (м3 или штук)]]*Таблица2[[#This Row],[Количество (М3/шт)]]</f>
        <v>0</v>
      </c>
    </row>
    <row r="17" spans="1:6">
      <c r="A17">
        <v>13</v>
      </c>
      <c r="B17" t="s">
        <v>28</v>
      </c>
      <c r="D17" s="3"/>
      <c r="E17" s="3">
        <f>Таблица2[[#This Row],[Цена  (м3 или штук)]]*Таблица2[[#This Row],[Количество (М3/шт)]]</f>
        <v>0</v>
      </c>
    </row>
    <row r="18" spans="1:6">
      <c r="A18">
        <v>14</v>
      </c>
      <c r="B18" t="s">
        <v>29</v>
      </c>
      <c r="D18" s="3"/>
      <c r="E18" s="3">
        <f>Таблица2[[#This Row],[Цена  (м3 или штук)]]*Таблица2[[#This Row],[Количество (М3/шт)]]</f>
        <v>0</v>
      </c>
    </row>
    <row r="19" spans="1:6">
      <c r="A19">
        <v>15</v>
      </c>
      <c r="B19" t="s">
        <v>30</v>
      </c>
      <c r="D19" s="3"/>
      <c r="E19" s="3">
        <f>Таблица2[[#This Row],[Цена  (м3 или штук)]]*Таблица2[[#This Row],[Количество (М3/шт)]]</f>
        <v>0</v>
      </c>
    </row>
    <row r="20" spans="1:6">
      <c r="A20">
        <v>16</v>
      </c>
      <c r="B20" t="s">
        <v>32</v>
      </c>
      <c r="C20">
        <v>27</v>
      </c>
      <c r="D20" s="3"/>
      <c r="E20" s="3">
        <f>Таблица2[[#This Row],[Цена  (м3 или штук)]]*Таблица2[[#This Row],[Количество (М3/шт)]]</f>
        <v>0</v>
      </c>
    </row>
    <row r="21" spans="1:6">
      <c r="A21">
        <v>17</v>
      </c>
      <c r="B21" t="s">
        <v>31</v>
      </c>
      <c r="C21">
        <v>12.6</v>
      </c>
      <c r="D21" s="3"/>
      <c r="E21" s="3">
        <f>Таблица2[[#This Row],[Цена  (м3 или штук)]]*Таблица2[[#This Row],[Количество (М3/шт)]]</f>
        <v>0</v>
      </c>
    </row>
    <row r="22" spans="1:6">
      <c r="A22">
        <v>18</v>
      </c>
      <c r="B22" t="s">
        <v>33</v>
      </c>
      <c r="D22" s="3"/>
      <c r="E22" s="3">
        <f>Таблица2[[#This Row],[Цена  (м3 или штук)]]*Таблица2[[#This Row],[Количество (М3/шт)]]</f>
        <v>0</v>
      </c>
    </row>
    <row r="23" spans="1:6">
      <c r="A23">
        <v>19</v>
      </c>
      <c r="B23" s="6" t="s">
        <v>34</v>
      </c>
      <c r="D23" s="3"/>
      <c r="E23" s="3">
        <f>Таблица2[[#This Row],[Цена  (м3 или штук)]]*Таблица2[[#This Row],[Количество (М3/шт)]]</f>
        <v>0</v>
      </c>
    </row>
    <row r="24" spans="1:6">
      <c r="A24">
        <v>20</v>
      </c>
      <c r="B24" s="6" t="s">
        <v>35</v>
      </c>
      <c r="D24" s="3"/>
      <c r="E24" s="3">
        <f>Таблица2[[#This Row],[Цена  (м3 или штук)]]*Таблица2[[#This Row],[Количество (М3/шт)]]</f>
        <v>0</v>
      </c>
    </row>
    <row r="25" spans="1:6">
      <c r="A25">
        <v>21</v>
      </c>
      <c r="B25" t="s">
        <v>38</v>
      </c>
      <c r="D25" s="3"/>
      <c r="E25" s="3">
        <f>Таблица2[[#This Row],[Цена  (м3 или штук)]]*Таблица2[[#This Row],[Количество (М3/шт)]]</f>
        <v>0</v>
      </c>
    </row>
    <row r="26" spans="1:6">
      <c r="D26" s="3"/>
      <c r="E26" s="3">
        <f>Таблица2[[#This Row],[Цена  (м3 или штук)]]*Таблица2[[#This Row],[Количество (М3/шт)]]</f>
        <v>0</v>
      </c>
    </row>
    <row r="27" spans="1:6">
      <c r="D27" s="3"/>
      <c r="E27" s="3">
        <f>Таблица2[[#This Row],[Цена  (м3 или штук)]]*Таблица2[[#This Row],[Количество (М3/шт)]]</f>
        <v>0</v>
      </c>
    </row>
    <row r="28" spans="1:6">
      <c r="A28" s="4" t="s">
        <v>18</v>
      </c>
      <c r="B28" s="4"/>
      <c r="C28" s="4"/>
      <c r="D28" s="5"/>
      <c r="E28" s="5">
        <f>SUM(E5:E27)</f>
        <v>584480</v>
      </c>
      <c r="F28" s="4"/>
    </row>
  </sheetData>
  <hyperlinks>
    <hyperlink ref="F11" r:id="rId1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workbookViewId="0">
      <selection activeCell="E20" sqref="E20"/>
    </sheetView>
  </sheetViews>
  <sheetFormatPr defaultRowHeight="15"/>
  <cols>
    <col min="1" max="1" width="11.85546875" customWidth="1"/>
    <col min="2" max="2" width="35" customWidth="1"/>
    <col min="3" max="3" width="14.28515625" customWidth="1"/>
    <col min="4" max="4" width="18.42578125" customWidth="1"/>
    <col min="5" max="5" width="26.28515625" customWidth="1"/>
    <col min="6" max="6" width="28.7109375" customWidth="1"/>
    <col min="7" max="7" width="29" customWidth="1"/>
  </cols>
  <sheetData>
    <row r="1" spans="2:4">
      <c r="B1" s="35" t="s">
        <v>358</v>
      </c>
    </row>
    <row r="2" spans="2:4">
      <c r="B2" t="s">
        <v>343</v>
      </c>
      <c r="C2" t="s">
        <v>350</v>
      </c>
      <c r="D2" t="s">
        <v>351</v>
      </c>
    </row>
    <row r="3" spans="2:4">
      <c r="B3" t="s">
        <v>352</v>
      </c>
      <c r="C3">
        <v>138</v>
      </c>
      <c r="D3">
        <v>194</v>
      </c>
    </row>
    <row r="4" spans="2:4">
      <c r="B4" t="s">
        <v>355</v>
      </c>
      <c r="C4">
        <v>133</v>
      </c>
      <c r="D4">
        <v>226</v>
      </c>
    </row>
    <row r="5" spans="2:4">
      <c r="B5" t="s">
        <v>356</v>
      </c>
      <c r="C5">
        <v>65</v>
      </c>
      <c r="D5">
        <v>92</v>
      </c>
    </row>
    <row r="6" spans="2:4">
      <c r="B6" t="s">
        <v>353</v>
      </c>
      <c r="C6">
        <v>132</v>
      </c>
    </row>
    <row r="7" spans="2:4">
      <c r="B7" t="s">
        <v>354</v>
      </c>
      <c r="C7">
        <v>60</v>
      </c>
    </row>
    <row r="8" spans="2:4">
      <c r="B8" s="11" t="s">
        <v>357</v>
      </c>
      <c r="C8" s="11">
        <f>SUM(C3:C7)</f>
        <v>528</v>
      </c>
      <c r="D8" s="11">
        <f>SUM(D3:D5)</f>
        <v>512</v>
      </c>
    </row>
    <row r="9" spans="2:4">
      <c r="B9" t="s">
        <v>359</v>
      </c>
      <c r="C9">
        <f>C8/6</f>
        <v>88</v>
      </c>
      <c r="D9">
        <f>D8/6</f>
        <v>85.333333333333329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32" sqref="F32"/>
    </sheetView>
  </sheetViews>
  <sheetFormatPr defaultRowHeight="15"/>
  <cols>
    <col min="1" max="1" width="23.42578125" customWidth="1"/>
    <col min="2" max="2" width="20.140625" customWidth="1"/>
    <col min="3" max="3" width="75" customWidth="1"/>
    <col min="4" max="4" width="7.5703125" customWidth="1"/>
    <col min="5" max="5" width="28" customWidth="1"/>
    <col min="6" max="6" width="20.28515625" customWidth="1"/>
    <col min="7" max="7" width="59.85546875" customWidth="1"/>
  </cols>
  <sheetData>
    <row r="1" spans="1:7">
      <c r="A1" s="11" t="s">
        <v>309</v>
      </c>
      <c r="C1" s="11"/>
      <c r="E1" s="11" t="s">
        <v>310</v>
      </c>
    </row>
    <row r="2" spans="1:7">
      <c r="B2" s="11" t="s">
        <v>266</v>
      </c>
      <c r="F2" s="11" t="s">
        <v>266</v>
      </c>
    </row>
    <row r="3" spans="1:7">
      <c r="A3" t="s">
        <v>267</v>
      </c>
      <c r="B3" t="s">
        <v>268</v>
      </c>
      <c r="C3" t="s">
        <v>269</v>
      </c>
      <c r="E3" t="s">
        <v>267</v>
      </c>
      <c r="F3" t="s">
        <v>268</v>
      </c>
      <c r="G3" t="s">
        <v>269</v>
      </c>
    </row>
    <row r="4" spans="1:7">
      <c r="A4" t="s">
        <v>308</v>
      </c>
      <c r="B4" s="23">
        <v>300</v>
      </c>
      <c r="C4" t="s">
        <v>270</v>
      </c>
      <c r="E4" t="s">
        <v>308</v>
      </c>
      <c r="F4" s="23">
        <v>375</v>
      </c>
      <c r="G4" t="s">
        <v>311</v>
      </c>
    </row>
    <row r="5" spans="1:7">
      <c r="A5" t="s">
        <v>318</v>
      </c>
      <c r="B5" s="23">
        <v>1500</v>
      </c>
      <c r="C5" t="s">
        <v>322</v>
      </c>
      <c r="E5" t="s">
        <v>312</v>
      </c>
      <c r="F5" s="23">
        <v>1500</v>
      </c>
    </row>
    <row r="6" spans="1:7">
      <c r="A6" t="s">
        <v>319</v>
      </c>
      <c r="B6" s="23">
        <v>2125</v>
      </c>
      <c r="C6" t="s">
        <v>324</v>
      </c>
      <c r="E6" t="s">
        <v>313</v>
      </c>
      <c r="F6" s="23">
        <v>2050</v>
      </c>
    </row>
    <row r="7" spans="1:7">
      <c r="A7" t="s">
        <v>320</v>
      </c>
      <c r="B7" s="23">
        <v>3100</v>
      </c>
      <c r="C7" t="s">
        <v>323</v>
      </c>
      <c r="E7" t="s">
        <v>314</v>
      </c>
      <c r="F7" s="23">
        <v>3100</v>
      </c>
    </row>
    <row r="8" spans="1:7">
      <c r="A8" t="s">
        <v>321</v>
      </c>
      <c r="B8" s="23">
        <v>4525</v>
      </c>
      <c r="C8" t="s">
        <v>325</v>
      </c>
      <c r="E8" t="s">
        <v>315</v>
      </c>
      <c r="F8" s="23">
        <v>4450</v>
      </c>
    </row>
    <row r="9" spans="1:7">
      <c r="A9" t="s">
        <v>308</v>
      </c>
      <c r="B9" s="23">
        <v>300</v>
      </c>
      <c r="E9" t="s">
        <v>316</v>
      </c>
      <c r="F9" s="23">
        <v>375</v>
      </c>
    </row>
    <row r="10" spans="1:7">
      <c r="A10" s="11" t="s">
        <v>317</v>
      </c>
      <c r="B10" s="24">
        <f>SUM(B4:B9)</f>
        <v>11850</v>
      </c>
      <c r="E10" s="11" t="s">
        <v>317</v>
      </c>
      <c r="F10" s="24">
        <f>SUM(F4:F9)</f>
        <v>11850</v>
      </c>
    </row>
    <row r="11" spans="1:7">
      <c r="F11" s="23"/>
    </row>
    <row r="12" spans="1:7">
      <c r="C12" s="6" t="s">
        <v>326</v>
      </c>
      <c r="F12" s="23"/>
      <c r="G12" s="11" t="s">
        <v>336</v>
      </c>
    </row>
    <row r="13" spans="1:7">
      <c r="F13" s="23"/>
    </row>
    <row r="14" spans="1:7">
      <c r="B14" s="11" t="s">
        <v>327</v>
      </c>
      <c r="F14" s="11" t="s">
        <v>327</v>
      </c>
    </row>
    <row r="15" spans="1:7">
      <c r="A15" t="s">
        <v>267</v>
      </c>
      <c r="B15" t="s">
        <v>268</v>
      </c>
      <c r="C15" t="s">
        <v>269</v>
      </c>
      <c r="E15" t="s">
        <v>267</v>
      </c>
      <c r="F15" t="s">
        <v>268</v>
      </c>
      <c r="G15" t="s">
        <v>269</v>
      </c>
    </row>
    <row r="16" spans="1:7">
      <c r="A16" t="s">
        <v>308</v>
      </c>
      <c r="B16" s="23">
        <v>300</v>
      </c>
      <c r="C16" t="s">
        <v>270</v>
      </c>
      <c r="E16" t="s">
        <v>308</v>
      </c>
      <c r="F16" s="23">
        <v>375</v>
      </c>
      <c r="G16" t="s">
        <v>311</v>
      </c>
    </row>
    <row r="17" spans="1:6">
      <c r="A17" s="25" t="s">
        <v>328</v>
      </c>
      <c r="B17" s="23">
        <v>3175</v>
      </c>
      <c r="C17" t="s">
        <v>337</v>
      </c>
      <c r="E17" s="25" t="s">
        <v>332</v>
      </c>
      <c r="F17" s="23">
        <v>3100</v>
      </c>
    </row>
    <row r="18" spans="1:6">
      <c r="A18" s="25" t="s">
        <v>329</v>
      </c>
      <c r="B18" s="23">
        <v>1700</v>
      </c>
      <c r="E18" s="25" t="s">
        <v>333</v>
      </c>
      <c r="F18" s="23">
        <v>1700</v>
      </c>
    </row>
    <row r="19" spans="1:6">
      <c r="A19" s="25" t="s">
        <v>330</v>
      </c>
      <c r="B19" s="23">
        <v>1625</v>
      </c>
      <c r="C19" t="s">
        <v>338</v>
      </c>
      <c r="E19" s="25" t="s">
        <v>334</v>
      </c>
      <c r="F19" s="23">
        <v>1700</v>
      </c>
    </row>
    <row r="20" spans="1:6">
      <c r="A20" s="25" t="s">
        <v>331</v>
      </c>
      <c r="B20" s="23">
        <v>5900</v>
      </c>
      <c r="C20" t="s">
        <v>339</v>
      </c>
      <c r="E20" s="25" t="s">
        <v>335</v>
      </c>
      <c r="F20" s="23">
        <v>5750</v>
      </c>
    </row>
    <row r="21" spans="1:6">
      <c r="A21" t="s">
        <v>308</v>
      </c>
      <c r="B21" s="23">
        <v>300</v>
      </c>
      <c r="C21" t="s">
        <v>270</v>
      </c>
      <c r="E21" t="s">
        <v>316</v>
      </c>
      <c r="F21" s="23">
        <v>375</v>
      </c>
    </row>
    <row r="22" spans="1:6">
      <c r="A22" s="11" t="s">
        <v>317</v>
      </c>
      <c r="B22" s="24">
        <f>SUM(B16:B21)</f>
        <v>13000</v>
      </c>
      <c r="E22" s="11" t="s">
        <v>317</v>
      </c>
      <c r="F22" s="24">
        <f>SUM(F16:F21)</f>
        <v>13000</v>
      </c>
    </row>
    <row r="25" spans="1:6">
      <c r="C25" s="26" t="s">
        <v>341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D25" sqref="D25"/>
    </sheetView>
  </sheetViews>
  <sheetFormatPr defaultRowHeight="15"/>
  <cols>
    <col min="1" max="1" width="6.42578125" customWidth="1"/>
    <col min="2" max="2" width="42.28515625" customWidth="1"/>
    <col min="3" max="3" width="22.28515625" customWidth="1"/>
    <col min="4" max="4" width="56" customWidth="1"/>
    <col min="6" max="6" width="6.85546875" customWidth="1"/>
    <col min="7" max="7" width="43" customWidth="1"/>
    <col min="8" max="8" width="24.5703125" customWidth="1"/>
    <col min="9" max="9" width="62.140625" customWidth="1"/>
    <col min="10" max="10" width="58.140625" customWidth="1"/>
    <col min="11" max="11" width="14.140625" customWidth="1"/>
    <col min="12" max="12" width="47.85546875" customWidth="1"/>
    <col min="13" max="13" width="11.85546875" customWidth="1"/>
  </cols>
  <sheetData>
    <row r="1" spans="1:11" ht="21">
      <c r="C1" s="32" t="s">
        <v>340</v>
      </c>
    </row>
    <row r="2" spans="1:11">
      <c r="B2" s="11" t="s">
        <v>280</v>
      </c>
      <c r="G2" s="11" t="s">
        <v>281</v>
      </c>
    </row>
    <row r="3" spans="1:11">
      <c r="B3" t="s">
        <v>343</v>
      </c>
      <c r="C3" s="23" t="s">
        <v>344</v>
      </c>
      <c r="D3" t="s">
        <v>1</v>
      </c>
      <c r="G3" t="s">
        <v>343</v>
      </c>
      <c r="H3" s="23" t="s">
        <v>344</v>
      </c>
      <c r="I3" t="s">
        <v>1</v>
      </c>
    </row>
    <row r="4" spans="1:11">
      <c r="A4" s="23"/>
      <c r="B4" t="s">
        <v>345</v>
      </c>
      <c r="C4" s="23">
        <v>160</v>
      </c>
      <c r="D4" s="29" t="s">
        <v>349</v>
      </c>
      <c r="F4" s="23" t="s">
        <v>342</v>
      </c>
      <c r="G4" t="s">
        <v>345</v>
      </c>
      <c r="H4" s="23">
        <v>300</v>
      </c>
    </row>
    <row r="5" spans="1:11">
      <c r="B5" t="s">
        <v>346</v>
      </c>
      <c r="C5" s="31">
        <v>100</v>
      </c>
      <c r="D5" t="s">
        <v>794</v>
      </c>
      <c r="G5" t="s">
        <v>346</v>
      </c>
      <c r="H5" s="27">
        <v>150</v>
      </c>
    </row>
    <row r="6" spans="1:11">
      <c r="B6" t="s">
        <v>347</v>
      </c>
      <c r="C6" s="27">
        <v>65</v>
      </c>
      <c r="D6" t="s">
        <v>393</v>
      </c>
      <c r="G6" t="s">
        <v>347</v>
      </c>
      <c r="H6" s="27">
        <v>60</v>
      </c>
    </row>
    <row r="7" spans="1:11">
      <c r="B7" t="s">
        <v>348</v>
      </c>
      <c r="C7" s="28">
        <v>20</v>
      </c>
      <c r="D7" t="s">
        <v>795</v>
      </c>
      <c r="G7" t="s">
        <v>348</v>
      </c>
      <c r="H7" s="28">
        <v>20</v>
      </c>
      <c r="I7" s="29" t="s">
        <v>398</v>
      </c>
    </row>
    <row r="8" spans="1:11">
      <c r="B8" t="s">
        <v>796</v>
      </c>
      <c r="C8" s="36">
        <v>1015</v>
      </c>
      <c r="D8" t="s">
        <v>395</v>
      </c>
      <c r="G8" t="s">
        <v>394</v>
      </c>
      <c r="H8" s="23">
        <f>2550+H5+H6+H7</f>
        <v>2780</v>
      </c>
      <c r="I8" t="s">
        <v>399</v>
      </c>
    </row>
    <row r="9" spans="1:11">
      <c r="B9" t="s">
        <v>396</v>
      </c>
      <c r="C9" s="24">
        <v>3020</v>
      </c>
      <c r="G9" t="s">
        <v>396</v>
      </c>
      <c r="H9" s="24">
        <f>H8+250</f>
        <v>3030</v>
      </c>
      <c r="I9" t="s">
        <v>400</v>
      </c>
      <c r="K9" s="23"/>
    </row>
    <row r="10" spans="1:11">
      <c r="H10" s="24"/>
      <c r="K10" s="23"/>
    </row>
    <row r="11" spans="1:11">
      <c r="F11" s="23"/>
      <c r="K11" s="23"/>
    </row>
    <row r="12" spans="1:11">
      <c r="F12" s="23"/>
      <c r="K12" s="23"/>
    </row>
    <row r="13" spans="1:11">
      <c r="D13" t="s">
        <v>402</v>
      </c>
      <c r="F13" s="23"/>
      <c r="G13" t="s">
        <v>401</v>
      </c>
      <c r="H13" s="24">
        <f>850+H5+H6+H7</f>
        <v>1080</v>
      </c>
      <c r="I13" t="s">
        <v>397</v>
      </c>
      <c r="K13" s="23"/>
    </row>
    <row r="14" spans="1:11">
      <c r="F14" s="23"/>
      <c r="K14" s="23"/>
    </row>
    <row r="15" spans="1:11">
      <c r="F15" s="30"/>
      <c r="K15" s="23"/>
    </row>
    <row r="16" spans="1:11">
      <c r="F16" s="23"/>
    </row>
    <row r="17" spans="2:12">
      <c r="F17" s="23"/>
    </row>
    <row r="18" spans="2:12">
      <c r="F18" s="23"/>
    </row>
    <row r="19" spans="2:12">
      <c r="F19" s="23"/>
      <c r="K19" s="33"/>
      <c r="L19" s="34"/>
    </row>
    <row r="20" spans="2:12">
      <c r="F20" s="23"/>
      <c r="K20" s="22"/>
    </row>
    <row r="21" spans="2:12">
      <c r="F21" s="23"/>
    </row>
    <row r="22" spans="2:12">
      <c r="B22" s="21"/>
      <c r="C22" s="23"/>
      <c r="D22" s="23"/>
      <c r="F22" s="23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78"/>
  <sheetViews>
    <sheetView topLeftCell="A25" workbookViewId="0">
      <selection activeCell="D66" sqref="D66"/>
    </sheetView>
  </sheetViews>
  <sheetFormatPr defaultRowHeight="15"/>
  <cols>
    <col min="2" max="2" width="68.7109375" customWidth="1"/>
    <col min="3" max="3" width="26.28515625" customWidth="1"/>
    <col min="4" max="4" width="112" customWidth="1"/>
    <col min="5" max="5" width="23.7109375" customWidth="1"/>
    <col min="6" max="6" width="24.28515625" customWidth="1"/>
    <col min="7" max="7" width="28" customWidth="1"/>
    <col min="8" max="8" width="10" customWidth="1"/>
    <col min="9" max="9" width="22" customWidth="1"/>
    <col min="10" max="10" width="10.5703125" customWidth="1"/>
    <col min="11" max="11" width="13.7109375" customWidth="1"/>
  </cols>
  <sheetData>
    <row r="3" spans="2:4" ht="18.75">
      <c r="B3" s="8" t="s">
        <v>574</v>
      </c>
    </row>
    <row r="4" spans="2:4">
      <c r="B4" t="s">
        <v>538</v>
      </c>
      <c r="C4" t="s">
        <v>573</v>
      </c>
      <c r="D4" t="s">
        <v>1</v>
      </c>
    </row>
    <row r="5" spans="2:4">
      <c r="B5" t="s">
        <v>539</v>
      </c>
      <c r="C5" s="23">
        <v>1</v>
      </c>
      <c r="D5" t="s">
        <v>797</v>
      </c>
    </row>
    <row r="6" spans="2:4">
      <c r="B6" t="s">
        <v>541</v>
      </c>
      <c r="C6" s="23">
        <v>1</v>
      </c>
    </row>
    <row r="7" spans="2:4">
      <c r="B7" t="s">
        <v>540</v>
      </c>
      <c r="C7" s="23">
        <v>1</v>
      </c>
    </row>
    <row r="8" spans="2:4">
      <c r="B8" t="s">
        <v>542</v>
      </c>
      <c r="C8" s="23">
        <v>1</v>
      </c>
    </row>
    <row r="9" spans="2:4">
      <c r="B9" t="s">
        <v>545</v>
      </c>
      <c r="C9" s="23">
        <v>2</v>
      </c>
    </row>
    <row r="10" spans="2:4">
      <c r="B10" t="s">
        <v>543</v>
      </c>
      <c r="C10" s="23">
        <v>2</v>
      </c>
    </row>
    <row r="11" spans="2:4">
      <c r="B11" t="s">
        <v>544</v>
      </c>
      <c r="C11" s="23">
        <v>1</v>
      </c>
    </row>
    <row r="12" spans="2:4">
      <c r="B12" t="s">
        <v>551</v>
      </c>
      <c r="C12" s="23">
        <v>3</v>
      </c>
    </row>
    <row r="13" spans="2:4">
      <c r="B13" t="s">
        <v>546</v>
      </c>
      <c r="C13" s="23">
        <v>1</v>
      </c>
    </row>
    <row r="14" spans="2:4">
      <c r="B14" t="s">
        <v>549</v>
      </c>
      <c r="C14" s="23">
        <v>3</v>
      </c>
    </row>
    <row r="15" spans="2:4">
      <c r="B15" t="s">
        <v>550</v>
      </c>
      <c r="C15" s="23">
        <f>SUM(C5:C14)</f>
        <v>16</v>
      </c>
    </row>
    <row r="18" spans="2:4" ht="18.75">
      <c r="B18" s="8" t="s">
        <v>575</v>
      </c>
    </row>
    <row r="19" spans="2:4">
      <c r="B19" t="s">
        <v>538</v>
      </c>
      <c r="C19" t="s">
        <v>548</v>
      </c>
      <c r="D19" t="s">
        <v>1</v>
      </c>
    </row>
    <row r="20" spans="2:4">
      <c r="B20" t="s">
        <v>553</v>
      </c>
      <c r="C20" s="23">
        <v>4</v>
      </c>
      <c r="D20" t="s">
        <v>547</v>
      </c>
    </row>
    <row r="21" spans="2:4">
      <c r="B21" t="s">
        <v>551</v>
      </c>
      <c r="C21" s="23">
        <v>3</v>
      </c>
    </row>
    <row r="22" spans="2:4">
      <c r="B22" t="s">
        <v>552</v>
      </c>
      <c r="C22" s="23">
        <v>2</v>
      </c>
    </row>
    <row r="23" spans="2:4">
      <c r="B23" t="s">
        <v>550</v>
      </c>
      <c r="C23" s="23">
        <f>SUM(C20:C22)</f>
        <v>9</v>
      </c>
    </row>
    <row r="24" spans="2:4">
      <c r="C24" s="23"/>
    </row>
    <row r="25" spans="2:4">
      <c r="C25" s="23"/>
    </row>
    <row r="26" spans="2:4">
      <c r="C26" s="23"/>
    </row>
    <row r="27" spans="2:4" ht="18.75">
      <c r="B27" s="8" t="s">
        <v>576</v>
      </c>
      <c r="C27" s="23"/>
    </row>
    <row r="28" spans="2:4">
      <c r="B28" t="s">
        <v>538</v>
      </c>
      <c r="C28" t="s">
        <v>548</v>
      </c>
      <c r="D28" t="s">
        <v>1</v>
      </c>
    </row>
    <row r="29" spans="2:4">
      <c r="B29" t="s">
        <v>553</v>
      </c>
      <c r="C29" s="23">
        <v>4</v>
      </c>
      <c r="D29" t="s">
        <v>547</v>
      </c>
    </row>
    <row r="30" spans="2:4">
      <c r="B30" t="s">
        <v>551</v>
      </c>
      <c r="C30" s="23">
        <v>3</v>
      </c>
    </row>
    <row r="31" spans="2:4">
      <c r="B31" t="s">
        <v>552</v>
      </c>
      <c r="C31" s="23">
        <v>2</v>
      </c>
    </row>
    <row r="32" spans="2:4">
      <c r="B32" t="s">
        <v>550</v>
      </c>
      <c r="C32" s="23">
        <f>SUM(C29:C31)</f>
        <v>9</v>
      </c>
    </row>
    <row r="35" spans="2:4" ht="18.75">
      <c r="B35" s="8" t="s">
        <v>577</v>
      </c>
      <c r="C35" s="23"/>
    </row>
    <row r="36" spans="2:4">
      <c r="B36" t="s">
        <v>538</v>
      </c>
      <c r="C36" t="s">
        <v>548</v>
      </c>
      <c r="D36" t="s">
        <v>1</v>
      </c>
    </row>
    <row r="37" spans="2:4">
      <c r="B37" t="s">
        <v>553</v>
      </c>
      <c r="C37" s="23">
        <v>4</v>
      </c>
      <c r="D37" t="s">
        <v>547</v>
      </c>
    </row>
    <row r="38" spans="2:4">
      <c r="B38" t="s">
        <v>551</v>
      </c>
      <c r="C38" s="23">
        <v>3</v>
      </c>
    </row>
    <row r="39" spans="2:4">
      <c r="B39" t="s">
        <v>552</v>
      </c>
      <c r="C39" s="23">
        <v>2</v>
      </c>
    </row>
    <row r="40" spans="2:4">
      <c r="B40" t="s">
        <v>550</v>
      </c>
      <c r="C40" s="23">
        <f>SUM(C37:C39)</f>
        <v>9</v>
      </c>
    </row>
    <row r="43" spans="2:4" ht="18.75">
      <c r="B43" s="8" t="s">
        <v>578</v>
      </c>
      <c r="C43" s="23"/>
    </row>
    <row r="44" spans="2:4">
      <c r="B44" t="s">
        <v>538</v>
      </c>
      <c r="C44" t="s">
        <v>548</v>
      </c>
      <c r="D44" t="s">
        <v>1</v>
      </c>
    </row>
    <row r="45" spans="2:4">
      <c r="B45" t="s">
        <v>555</v>
      </c>
      <c r="C45" s="23">
        <v>2</v>
      </c>
      <c r="D45" t="s">
        <v>557</v>
      </c>
    </row>
    <row r="46" spans="2:4">
      <c r="B46" t="s">
        <v>554</v>
      </c>
      <c r="C46" s="23">
        <v>1</v>
      </c>
      <c r="D46" t="s">
        <v>558</v>
      </c>
    </row>
    <row r="47" spans="2:4">
      <c r="B47" t="s">
        <v>556</v>
      </c>
      <c r="C47" s="23">
        <v>2</v>
      </c>
      <c r="D47" t="s">
        <v>558</v>
      </c>
    </row>
    <row r="48" spans="2:4">
      <c r="B48" t="s">
        <v>550</v>
      </c>
      <c r="C48" s="23">
        <f>SUM(C45:C47)</f>
        <v>5</v>
      </c>
    </row>
    <row r="51" spans="2:4" ht="18.75">
      <c r="B51" s="8" t="s">
        <v>579</v>
      </c>
      <c r="C51" s="23"/>
    </row>
    <row r="52" spans="2:4">
      <c r="B52" t="s">
        <v>538</v>
      </c>
      <c r="C52" t="s">
        <v>548</v>
      </c>
      <c r="D52" t="s">
        <v>1</v>
      </c>
    </row>
    <row r="53" spans="2:4">
      <c r="B53" t="s">
        <v>559</v>
      </c>
      <c r="C53" s="23">
        <v>1</v>
      </c>
      <c r="D53" t="s">
        <v>557</v>
      </c>
    </row>
    <row r="54" spans="2:4">
      <c r="B54" t="s">
        <v>560</v>
      </c>
      <c r="C54" s="23">
        <v>1</v>
      </c>
      <c r="D54" t="s">
        <v>558</v>
      </c>
    </row>
    <row r="55" spans="2:4">
      <c r="B55" t="s">
        <v>550</v>
      </c>
      <c r="C55" s="23">
        <f>SUM(C53:C54)</f>
        <v>2</v>
      </c>
    </row>
    <row r="56" spans="2:4">
      <c r="C56" s="23"/>
    </row>
    <row r="58" spans="2:4" ht="18.75">
      <c r="B58" s="8" t="s">
        <v>580</v>
      </c>
      <c r="C58" s="23"/>
    </row>
    <row r="59" spans="2:4">
      <c r="B59" t="s">
        <v>538</v>
      </c>
      <c r="C59" t="s">
        <v>548</v>
      </c>
      <c r="D59" t="s">
        <v>1</v>
      </c>
    </row>
    <row r="60" spans="2:4">
      <c r="B60" t="s">
        <v>561</v>
      </c>
      <c r="C60" s="23">
        <v>2</v>
      </c>
      <c r="D60" t="s">
        <v>547</v>
      </c>
    </row>
    <row r="61" spans="2:4">
      <c r="B61" t="s">
        <v>562</v>
      </c>
      <c r="C61" s="23">
        <v>2</v>
      </c>
    </row>
    <row r="62" spans="2:4">
      <c r="B62" t="s">
        <v>563</v>
      </c>
      <c r="C62" s="23">
        <v>1</v>
      </c>
    </row>
    <row r="63" spans="2:4">
      <c r="B63" t="s">
        <v>564</v>
      </c>
      <c r="C63" s="23">
        <v>1</v>
      </c>
      <c r="D63" t="s">
        <v>566</v>
      </c>
    </row>
    <row r="64" spans="2:4">
      <c r="B64" t="s">
        <v>565</v>
      </c>
      <c r="C64" s="23">
        <v>1</v>
      </c>
      <c r="D64" t="s">
        <v>567</v>
      </c>
    </row>
    <row r="65" spans="2:4">
      <c r="B65" t="s">
        <v>568</v>
      </c>
      <c r="C65" s="23"/>
      <c r="D65" t="s">
        <v>569</v>
      </c>
    </row>
    <row r="66" spans="2:4">
      <c r="C66" s="23"/>
      <c r="D66" t="s">
        <v>572</v>
      </c>
    </row>
    <row r="67" spans="2:4">
      <c r="C67" s="23"/>
    </row>
    <row r="68" spans="2:4" ht="18.75">
      <c r="B68" s="8" t="s">
        <v>581</v>
      </c>
      <c r="C68" s="23"/>
    </row>
    <row r="69" spans="2:4">
      <c r="B69" t="s">
        <v>538</v>
      </c>
      <c r="C69" t="s">
        <v>548</v>
      </c>
      <c r="D69" t="s">
        <v>1</v>
      </c>
    </row>
    <row r="70" spans="2:4">
      <c r="B70" t="s">
        <v>570</v>
      </c>
      <c r="C70" s="23">
        <v>1</v>
      </c>
      <c r="D70" t="s">
        <v>547</v>
      </c>
    </row>
    <row r="71" spans="2:4">
      <c r="B71" t="s">
        <v>571</v>
      </c>
      <c r="C71" s="23">
        <v>1</v>
      </c>
    </row>
    <row r="72" spans="2:4">
      <c r="B72" t="s">
        <v>550</v>
      </c>
      <c r="C72" s="23">
        <f>SUM(C70:C71)</f>
        <v>2</v>
      </c>
    </row>
    <row r="75" spans="2:4">
      <c r="B75" t="s">
        <v>582</v>
      </c>
    </row>
    <row r="76" spans="2:4">
      <c r="B76" t="s">
        <v>583</v>
      </c>
    </row>
    <row r="77" spans="2:4">
      <c r="B77" t="s">
        <v>584</v>
      </c>
    </row>
    <row r="78" spans="2:4">
      <c r="B78" t="s">
        <v>585</v>
      </c>
    </row>
  </sheetData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L35"/>
  <sheetViews>
    <sheetView workbookViewId="0">
      <selection activeCell="J31" sqref="J31"/>
    </sheetView>
  </sheetViews>
  <sheetFormatPr defaultRowHeight="15"/>
  <cols>
    <col min="2" max="2" width="46.5703125" customWidth="1"/>
    <col min="3" max="3" width="25.7109375" customWidth="1"/>
    <col min="4" max="4" width="26.140625" customWidth="1"/>
    <col min="5" max="5" width="48.140625" customWidth="1"/>
    <col min="6" max="6" width="23.5703125" customWidth="1"/>
    <col min="7" max="7" width="29" customWidth="1"/>
    <col min="8" max="8" width="21" customWidth="1"/>
    <col min="9" max="9" width="18.28515625" customWidth="1"/>
    <col min="10" max="10" width="12.28515625" customWidth="1"/>
    <col min="11" max="11" width="14.7109375" customWidth="1"/>
    <col min="12" max="12" width="15.7109375" customWidth="1"/>
  </cols>
  <sheetData>
    <row r="3" spans="2:12">
      <c r="B3" s="11" t="s">
        <v>173</v>
      </c>
      <c r="E3" s="11" t="s">
        <v>586</v>
      </c>
    </row>
    <row r="4" spans="2:12">
      <c r="B4" s="11" t="s">
        <v>587</v>
      </c>
      <c r="C4" t="s">
        <v>594</v>
      </c>
      <c r="E4" s="11" t="s">
        <v>587</v>
      </c>
      <c r="F4" t="s">
        <v>602</v>
      </c>
      <c r="G4" t="s">
        <v>603</v>
      </c>
      <c r="H4" t="s">
        <v>604</v>
      </c>
      <c r="I4" t="s">
        <v>605</v>
      </c>
      <c r="J4" t="s">
        <v>606</v>
      </c>
      <c r="K4" t="s">
        <v>607</v>
      </c>
      <c r="L4" t="s">
        <v>601</v>
      </c>
    </row>
    <row r="5" spans="2:12">
      <c r="B5" t="s">
        <v>588</v>
      </c>
      <c r="C5" s="7">
        <v>2790</v>
      </c>
      <c r="D5" s="7"/>
      <c r="E5" t="s">
        <v>588</v>
      </c>
      <c r="F5" s="7">
        <v>2150</v>
      </c>
      <c r="G5" s="7">
        <v>1780</v>
      </c>
      <c r="H5" s="7">
        <v>1140</v>
      </c>
      <c r="I5" s="7">
        <v>1213</v>
      </c>
      <c r="J5" s="7"/>
      <c r="K5" s="7"/>
      <c r="L5" s="7"/>
    </row>
    <row r="6" spans="2:12">
      <c r="B6" t="s">
        <v>589</v>
      </c>
      <c r="C6" s="7">
        <v>2890</v>
      </c>
      <c r="D6" s="7"/>
      <c r="E6" t="s">
        <v>589</v>
      </c>
      <c r="F6" s="7"/>
      <c r="G6" s="7">
        <v>1743</v>
      </c>
      <c r="H6" s="7">
        <v>882</v>
      </c>
      <c r="I6" s="7"/>
      <c r="J6" s="7"/>
      <c r="K6" s="7"/>
      <c r="L6" s="7"/>
    </row>
    <row r="7" spans="2:12">
      <c r="B7" t="s">
        <v>590</v>
      </c>
      <c r="C7" s="7">
        <v>1390</v>
      </c>
      <c r="D7" s="7"/>
      <c r="E7" t="s">
        <v>590</v>
      </c>
      <c r="F7" s="7"/>
      <c r="G7" s="7">
        <v>1338</v>
      </c>
      <c r="H7" s="7"/>
      <c r="I7" s="7"/>
      <c r="J7" s="7">
        <v>706</v>
      </c>
      <c r="K7" s="7"/>
      <c r="L7" s="7"/>
    </row>
    <row r="8" spans="2:12">
      <c r="B8" t="s">
        <v>591</v>
      </c>
      <c r="C8" s="7">
        <v>339</v>
      </c>
      <c r="D8" s="7"/>
      <c r="E8" t="s">
        <v>591</v>
      </c>
      <c r="F8" s="7"/>
      <c r="G8" s="7"/>
      <c r="H8" s="7"/>
      <c r="I8" s="7"/>
      <c r="J8" s="7"/>
      <c r="K8" s="7"/>
      <c r="L8" s="7"/>
    </row>
    <row r="9" spans="2:12">
      <c r="B9" t="s">
        <v>592</v>
      </c>
      <c r="C9" s="7">
        <v>5190</v>
      </c>
      <c r="D9" s="7"/>
      <c r="E9" t="s">
        <v>592</v>
      </c>
      <c r="F9" s="7"/>
      <c r="G9" s="7"/>
      <c r="H9" s="7"/>
      <c r="I9" s="7"/>
      <c r="J9" s="7"/>
      <c r="K9" s="7"/>
      <c r="L9" s="7"/>
    </row>
    <row r="10" spans="2:12">
      <c r="B10" t="s">
        <v>593</v>
      </c>
      <c r="C10" s="7">
        <v>329</v>
      </c>
      <c r="D10" s="7"/>
      <c r="E10" t="s">
        <v>593</v>
      </c>
      <c r="F10" s="7"/>
      <c r="G10" s="7">
        <v>357</v>
      </c>
      <c r="H10" s="7"/>
      <c r="I10" s="7"/>
      <c r="J10" s="7"/>
      <c r="K10" s="7"/>
      <c r="L10" s="7"/>
    </row>
    <row r="11" spans="2:12">
      <c r="B11" t="s">
        <v>595</v>
      </c>
      <c r="C11" s="7"/>
      <c r="D11" s="7"/>
      <c r="E11" t="s">
        <v>595</v>
      </c>
      <c r="F11" s="7"/>
      <c r="G11" s="7"/>
      <c r="H11" s="7"/>
      <c r="I11" s="7"/>
      <c r="J11" s="7"/>
      <c r="K11" s="7"/>
      <c r="L11" s="7"/>
    </row>
    <row r="12" spans="2:12">
      <c r="B12" t="s">
        <v>596</v>
      </c>
      <c r="C12" s="7">
        <v>125</v>
      </c>
      <c r="D12" s="7"/>
      <c r="E12" t="s">
        <v>596</v>
      </c>
      <c r="F12" s="7"/>
      <c r="G12" s="7"/>
      <c r="H12" s="7"/>
      <c r="I12" s="7"/>
      <c r="J12" s="7"/>
      <c r="K12" s="7"/>
      <c r="L12" s="7"/>
    </row>
    <row r="13" spans="2:12">
      <c r="B13" t="s">
        <v>597</v>
      </c>
      <c r="C13" s="7">
        <v>299</v>
      </c>
      <c r="D13" s="7"/>
      <c r="E13" t="s">
        <v>597</v>
      </c>
      <c r="F13" s="7"/>
      <c r="G13" s="7"/>
      <c r="H13" s="7"/>
      <c r="I13" s="7"/>
      <c r="J13" s="7"/>
      <c r="K13" s="7"/>
      <c r="L13" s="7"/>
    </row>
    <row r="14" spans="2:12">
      <c r="C14" s="7"/>
      <c r="D14" s="7"/>
      <c r="F14" s="7"/>
      <c r="G14" s="7"/>
      <c r="H14" s="7"/>
      <c r="I14" s="7"/>
      <c r="J14" s="7"/>
      <c r="K14" s="7"/>
      <c r="L14" s="7"/>
    </row>
    <row r="15" spans="2:12">
      <c r="B15" t="s">
        <v>598</v>
      </c>
      <c r="C15" s="7">
        <v>3190</v>
      </c>
      <c r="D15" s="7"/>
      <c r="E15" t="s">
        <v>598</v>
      </c>
      <c r="F15" s="7"/>
      <c r="G15" s="7"/>
      <c r="H15" s="7"/>
      <c r="I15" s="7"/>
      <c r="J15" s="7"/>
      <c r="K15" s="7">
        <v>2472</v>
      </c>
      <c r="L15" s="7"/>
    </row>
    <row r="16" spans="2:12">
      <c r="B16" t="s">
        <v>599</v>
      </c>
      <c r="C16" s="7">
        <v>1790</v>
      </c>
      <c r="D16" s="7"/>
      <c r="E16" t="s">
        <v>599</v>
      </c>
      <c r="F16" s="7"/>
      <c r="G16" s="7"/>
      <c r="H16" s="7"/>
      <c r="I16" s="7"/>
      <c r="J16" s="7"/>
      <c r="K16" s="7">
        <v>2063</v>
      </c>
      <c r="L16" s="7"/>
    </row>
    <row r="17" spans="2:12">
      <c r="B17" t="s">
        <v>600</v>
      </c>
      <c r="C17" s="7">
        <v>109</v>
      </c>
      <c r="D17" s="7"/>
      <c r="E17" t="s">
        <v>600</v>
      </c>
      <c r="F17" s="7"/>
      <c r="G17" s="7"/>
      <c r="H17" s="7"/>
      <c r="I17" s="7"/>
      <c r="J17" s="7"/>
      <c r="K17" s="7"/>
      <c r="L17" s="7">
        <v>181</v>
      </c>
    </row>
    <row r="21" spans="2:12">
      <c r="B21" s="11"/>
      <c r="E21" s="11" t="s">
        <v>608</v>
      </c>
    </row>
    <row r="22" spans="2:12">
      <c r="B22" s="11"/>
      <c r="E22" s="11" t="s">
        <v>587</v>
      </c>
      <c r="F22" t="s">
        <v>602</v>
      </c>
      <c r="G22" t="s">
        <v>603</v>
      </c>
      <c r="H22" t="s">
        <v>604</v>
      </c>
      <c r="I22" t="s">
        <v>605</v>
      </c>
      <c r="J22" t="s">
        <v>606</v>
      </c>
      <c r="K22" t="s">
        <v>607</v>
      </c>
      <c r="L22" t="s">
        <v>609</v>
      </c>
    </row>
    <row r="23" spans="2:12">
      <c r="C23" s="7"/>
      <c r="E23" t="s">
        <v>588</v>
      </c>
      <c r="F23" s="7"/>
      <c r="G23" s="7"/>
      <c r="H23" s="7"/>
      <c r="I23" s="7"/>
      <c r="J23" s="7"/>
      <c r="K23" s="7"/>
      <c r="L23" s="7">
        <v>2524</v>
      </c>
    </row>
    <row r="24" spans="2:12">
      <c r="C24" s="7"/>
      <c r="E24" t="s">
        <v>589</v>
      </c>
      <c r="F24" s="7"/>
      <c r="G24" s="7"/>
      <c r="H24" s="7"/>
      <c r="I24" s="7"/>
      <c r="J24" s="7"/>
      <c r="K24" s="7"/>
      <c r="L24" s="7">
        <v>2524</v>
      </c>
    </row>
    <row r="25" spans="2:12">
      <c r="C25" s="7"/>
      <c r="E25" t="s">
        <v>590</v>
      </c>
      <c r="F25" s="7"/>
      <c r="G25" s="7"/>
      <c r="H25" s="7"/>
      <c r="I25" s="7"/>
      <c r="J25" s="7">
        <v>840</v>
      </c>
      <c r="K25" s="7"/>
      <c r="L25" s="7"/>
    </row>
    <row r="26" spans="2:12">
      <c r="C26" s="7"/>
      <c r="E26" t="s">
        <v>591</v>
      </c>
      <c r="F26" s="7"/>
      <c r="G26" s="7"/>
      <c r="H26" s="7"/>
      <c r="I26" s="7"/>
      <c r="J26" s="7"/>
      <c r="K26" s="7"/>
      <c r="L26" s="7"/>
    </row>
    <row r="27" spans="2:12">
      <c r="C27" s="7"/>
      <c r="E27" t="s">
        <v>592</v>
      </c>
      <c r="F27" s="7"/>
      <c r="G27" s="7"/>
      <c r="H27" s="7"/>
      <c r="I27" s="7"/>
      <c r="J27" s="7">
        <v>6256</v>
      </c>
      <c r="K27" s="7"/>
      <c r="L27" s="7"/>
    </row>
    <row r="28" spans="2:12">
      <c r="C28" s="7"/>
      <c r="E28" t="s">
        <v>593</v>
      </c>
      <c r="F28" s="7"/>
      <c r="G28" s="7"/>
      <c r="H28" s="7"/>
      <c r="I28" s="7"/>
      <c r="J28" s="7">
        <v>262</v>
      </c>
      <c r="K28" s="7"/>
      <c r="L28" s="7"/>
    </row>
    <row r="29" spans="2:12">
      <c r="C29" s="7"/>
      <c r="E29" t="s">
        <v>595</v>
      </c>
      <c r="F29" s="7"/>
      <c r="G29" s="7"/>
      <c r="H29" s="7"/>
      <c r="I29" s="7"/>
      <c r="J29" s="7"/>
      <c r="K29" s="7"/>
      <c r="L29" s="7"/>
    </row>
    <row r="30" spans="2:12">
      <c r="C30" s="7"/>
      <c r="E30" t="s">
        <v>596</v>
      </c>
      <c r="F30" s="7"/>
      <c r="G30" s="7"/>
      <c r="H30" s="7"/>
      <c r="I30" s="7"/>
      <c r="J30" s="7">
        <v>263</v>
      </c>
      <c r="K30" s="7"/>
      <c r="L30" s="7"/>
    </row>
    <row r="31" spans="2:12">
      <c r="C31" s="7"/>
      <c r="E31" t="s">
        <v>597</v>
      </c>
      <c r="F31" s="7"/>
      <c r="G31" s="7"/>
      <c r="H31" s="7"/>
      <c r="I31" s="7"/>
      <c r="J31" s="7">
        <v>647</v>
      </c>
      <c r="K31" s="7"/>
      <c r="L31" s="7"/>
    </row>
    <row r="32" spans="2:12">
      <c r="C32" s="7"/>
      <c r="F32" s="7"/>
      <c r="G32" s="7"/>
      <c r="H32" s="7"/>
      <c r="I32" s="7"/>
      <c r="J32" s="7"/>
      <c r="K32" s="7"/>
      <c r="L32" s="7"/>
    </row>
    <row r="33" spans="3:12">
      <c r="C33" s="7"/>
      <c r="E33" t="s">
        <v>598</v>
      </c>
      <c r="F33" s="7"/>
      <c r="G33" s="7"/>
      <c r="H33" s="7"/>
      <c r="I33" s="7"/>
      <c r="J33" s="7">
        <v>5838</v>
      </c>
      <c r="K33" s="7"/>
      <c r="L33" s="7"/>
    </row>
    <row r="34" spans="3:12">
      <c r="C34" s="7"/>
      <c r="E34" t="s">
        <v>599</v>
      </c>
      <c r="F34" s="7"/>
      <c r="G34" s="7"/>
      <c r="H34" s="7"/>
      <c r="I34" s="7"/>
      <c r="J34" s="7"/>
      <c r="K34" s="7"/>
      <c r="L34" s="7"/>
    </row>
    <row r="35" spans="3:12">
      <c r="C35" s="7"/>
      <c r="E35" t="s">
        <v>600</v>
      </c>
      <c r="F35" s="7"/>
      <c r="G35" s="7"/>
      <c r="H35" s="7"/>
      <c r="I35" s="7"/>
      <c r="J35" s="7"/>
      <c r="K35" s="7"/>
      <c r="L35" s="7"/>
    </row>
  </sheetData>
  <pageMargins left="0.7" right="0.7" top="0.75" bottom="0.75" header="0.3" footer="0.3"/>
  <pageSetup paperSize="9" orientation="portrait" r:id="rId1"/>
  <legacyDrawing r:id="rId2"/>
  <tableParts count="3"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0"/>
  <sheetViews>
    <sheetView workbookViewId="0">
      <selection activeCell="H12" sqref="H12"/>
    </sheetView>
  </sheetViews>
  <sheetFormatPr defaultRowHeight="15"/>
  <cols>
    <col min="2" max="2" width="69.140625" customWidth="1"/>
    <col min="6" max="6" width="72.85546875" customWidth="1"/>
  </cols>
  <sheetData>
    <row r="3" spans="2:6" ht="98.25" customHeight="1">
      <c r="B3" s="43" t="s">
        <v>623</v>
      </c>
      <c r="F3" s="43" t="s">
        <v>639</v>
      </c>
    </row>
    <row r="4" spans="2:6">
      <c r="B4" s="44"/>
      <c r="F4" s="49" t="s">
        <v>640</v>
      </c>
    </row>
    <row r="5" spans="2:6" ht="129.75" customHeight="1">
      <c r="B5" s="43" t="s">
        <v>624</v>
      </c>
      <c r="F5" s="50" t="s">
        <v>641</v>
      </c>
    </row>
    <row r="6" spans="2:6" ht="15.75">
      <c r="B6" s="44"/>
      <c r="F6" s="46" t="s">
        <v>642</v>
      </c>
    </row>
    <row r="7" spans="2:6" ht="44.25" customHeight="1">
      <c r="B7" s="45" t="s">
        <v>625</v>
      </c>
      <c r="F7" s="46" t="s">
        <v>643</v>
      </c>
    </row>
    <row r="8" spans="2:6" ht="122.25" customHeight="1">
      <c r="B8" s="43" t="s">
        <v>626</v>
      </c>
      <c r="F8" s="46" t="s">
        <v>644</v>
      </c>
    </row>
    <row r="9" spans="2:6">
      <c r="B9" s="44" t="s">
        <v>627</v>
      </c>
      <c r="F9" s="51" t="s">
        <v>645</v>
      </c>
    </row>
    <row r="10" spans="2:6" ht="41.25" customHeight="1">
      <c r="B10" s="46" t="s">
        <v>628</v>
      </c>
      <c r="F10" s="43" t="s">
        <v>646</v>
      </c>
    </row>
    <row r="11" spans="2:6" ht="50.25" customHeight="1">
      <c r="B11" s="46" t="s">
        <v>629</v>
      </c>
    </row>
    <row r="12" spans="2:6" ht="31.5">
      <c r="B12" s="46" t="s">
        <v>630</v>
      </c>
    </row>
    <row r="13" spans="2:6" ht="15.75">
      <c r="B13" s="46" t="s">
        <v>631</v>
      </c>
    </row>
    <row r="14" spans="2:6" ht="72" customHeight="1">
      <c r="B14" s="47" t="s">
        <v>632</v>
      </c>
    </row>
    <row r="15" spans="2:6" ht="133.5" customHeight="1">
      <c r="B15" s="47" t="s">
        <v>633</v>
      </c>
    </row>
    <row r="16" spans="2:6">
      <c r="B16" s="48" t="s">
        <v>634</v>
      </c>
    </row>
    <row r="17" spans="2:2" ht="44.25" customHeight="1">
      <c r="B17" s="45" t="s">
        <v>635</v>
      </c>
    </row>
    <row r="18" spans="2:2" ht="161.25" customHeight="1">
      <c r="B18" s="46" t="s">
        <v>636</v>
      </c>
    </row>
    <row r="19" spans="2:2" ht="105.75" customHeight="1">
      <c r="B19" s="46" t="s">
        <v>637</v>
      </c>
    </row>
    <row r="20" spans="2:2" ht="144" customHeight="1">
      <c r="B20" s="46" t="s">
        <v>638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9"/>
  <sheetViews>
    <sheetView workbookViewId="0">
      <selection activeCell="C18" sqref="C18"/>
    </sheetView>
  </sheetViews>
  <sheetFormatPr defaultRowHeight="15"/>
  <cols>
    <col min="2" max="2" width="22.28515625" customWidth="1"/>
    <col min="3" max="3" width="22.5703125" customWidth="1"/>
    <col min="4" max="4" width="37.140625" customWidth="1"/>
    <col min="5" max="5" width="20.42578125" customWidth="1"/>
    <col min="6" max="6" width="21.28515625" customWidth="1"/>
  </cols>
  <sheetData>
    <row r="3" spans="2:6">
      <c r="B3" t="s">
        <v>688</v>
      </c>
      <c r="C3" t="s">
        <v>696</v>
      </c>
      <c r="D3" t="s">
        <v>1</v>
      </c>
    </row>
    <row r="4" spans="2:6">
      <c r="B4" t="s">
        <v>689</v>
      </c>
      <c r="C4">
        <v>25</v>
      </c>
      <c r="D4" t="s">
        <v>700</v>
      </c>
    </row>
    <row r="5" spans="2:6">
      <c r="B5" t="s">
        <v>690</v>
      </c>
      <c r="C5">
        <v>3</v>
      </c>
      <c r="D5" t="s">
        <v>691</v>
      </c>
    </row>
    <row r="6" spans="2:6">
      <c r="B6" t="s">
        <v>692</v>
      </c>
      <c r="C6" t="s">
        <v>693</v>
      </c>
      <c r="D6" t="s">
        <v>708</v>
      </c>
    </row>
    <row r="7" spans="2:6">
      <c r="B7" t="s">
        <v>694</v>
      </c>
      <c r="C7" t="s">
        <v>695</v>
      </c>
      <c r="D7" t="s">
        <v>699</v>
      </c>
    </row>
    <row r="8" spans="2:6">
      <c r="B8" t="s">
        <v>694</v>
      </c>
      <c r="C8" t="s">
        <v>697</v>
      </c>
      <c r="D8" t="s">
        <v>698</v>
      </c>
    </row>
    <row r="14" spans="2:6">
      <c r="B14" t="s">
        <v>702</v>
      </c>
      <c r="C14" t="s">
        <v>703</v>
      </c>
      <c r="D14" t="s">
        <v>704</v>
      </c>
      <c r="E14" t="s">
        <v>705</v>
      </c>
      <c r="F14" t="s">
        <v>706</v>
      </c>
    </row>
    <row r="15" spans="2:6">
      <c r="B15" t="s">
        <v>701</v>
      </c>
      <c r="C15">
        <v>109</v>
      </c>
      <c r="D15">
        <v>26000</v>
      </c>
      <c r="E15">
        <v>1.635</v>
      </c>
      <c r="F15">
        <v>42510</v>
      </c>
    </row>
    <row r="16" spans="2:6">
      <c r="B16" t="s">
        <v>689</v>
      </c>
      <c r="C16">
        <v>25</v>
      </c>
      <c r="D16">
        <v>26000</v>
      </c>
      <c r="E16">
        <v>1.5</v>
      </c>
      <c r="F16">
        <v>39000</v>
      </c>
    </row>
    <row r="17" spans="2:6">
      <c r="B17" t="s">
        <v>690</v>
      </c>
      <c r="C17">
        <v>3</v>
      </c>
      <c r="D17">
        <v>26000</v>
      </c>
      <c r="E17">
        <v>0.13500000000000001</v>
      </c>
      <c r="F17">
        <v>3510</v>
      </c>
    </row>
    <row r="18" spans="2:6">
      <c r="B18" t="s">
        <v>707</v>
      </c>
      <c r="C18">
        <v>104</v>
      </c>
      <c r="D18">
        <v>26000</v>
      </c>
      <c r="E18">
        <v>0.78</v>
      </c>
      <c r="F18">
        <v>20280</v>
      </c>
    </row>
    <row r="19" spans="2:6">
      <c r="B19" s="11" t="s">
        <v>18</v>
      </c>
      <c r="E19">
        <f>SUM(E15:E18)</f>
        <v>4.05</v>
      </c>
      <c r="F19">
        <f>SUM(F15:F18)</f>
        <v>105300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8"/>
  <sheetViews>
    <sheetView workbookViewId="0">
      <selection activeCell="J12" sqref="J12"/>
    </sheetView>
  </sheetViews>
  <sheetFormatPr defaultRowHeight="15"/>
  <cols>
    <col min="4" max="4" width="13.7109375" customWidth="1"/>
    <col min="6" max="6" width="13" customWidth="1"/>
    <col min="7" max="7" width="14.7109375" customWidth="1"/>
  </cols>
  <sheetData>
    <row r="2" spans="3:18">
      <c r="D2" t="s">
        <v>896</v>
      </c>
      <c r="N2" t="s">
        <v>900</v>
      </c>
      <c r="Q2" t="s">
        <v>901</v>
      </c>
    </row>
    <row r="3" spans="3:18">
      <c r="F3" t="s">
        <v>899</v>
      </c>
      <c r="G3" t="s">
        <v>703</v>
      </c>
      <c r="H3" t="s">
        <v>900</v>
      </c>
      <c r="N3">
        <v>1185</v>
      </c>
      <c r="O3">
        <v>20</v>
      </c>
      <c r="P3">
        <f>SUM(N3:O3)</f>
        <v>1205</v>
      </c>
    </row>
    <row r="4" spans="3:18">
      <c r="C4">
        <v>150</v>
      </c>
      <c r="D4">
        <v>150</v>
      </c>
      <c r="E4">
        <v>180</v>
      </c>
      <c r="F4">
        <f>SUM(C4:E4)</f>
        <v>480</v>
      </c>
      <c r="G4">
        <v>6</v>
      </c>
      <c r="H4">
        <f>F4*G4</f>
        <v>2880</v>
      </c>
      <c r="N4">
        <v>1300</v>
      </c>
      <c r="O4">
        <v>20</v>
      </c>
      <c r="P4">
        <f>SUM(N4:O4)</f>
        <v>1320</v>
      </c>
    </row>
    <row r="5" spans="3:18">
      <c r="P5">
        <f>P3+P4</f>
        <v>2525</v>
      </c>
      <c r="Q5">
        <f>P5/100</f>
        <v>25.25</v>
      </c>
      <c r="R5">
        <f>Q5/2.5</f>
        <v>10.1</v>
      </c>
    </row>
    <row r="7" spans="3:18">
      <c r="D7" t="s">
        <v>897</v>
      </c>
    </row>
    <row r="8" spans="3:18">
      <c r="C8">
        <v>150</v>
      </c>
      <c r="D8">
        <v>150</v>
      </c>
      <c r="E8">
        <v>90</v>
      </c>
      <c r="F8">
        <f>SUM(C8:E8)</f>
        <v>390</v>
      </c>
      <c r="G8">
        <v>2</v>
      </c>
      <c r="H8">
        <f>F8*G8</f>
        <v>780</v>
      </c>
    </row>
    <row r="10" spans="3:18">
      <c r="D10" t="s">
        <v>898</v>
      </c>
    </row>
    <row r="11" spans="3:18">
      <c r="C11">
        <v>235</v>
      </c>
      <c r="D11">
        <v>235</v>
      </c>
      <c r="E11">
        <v>180</v>
      </c>
      <c r="F11">
        <f>SUM(C11:E11)</f>
        <v>650</v>
      </c>
      <c r="G11">
        <v>1</v>
      </c>
      <c r="H11">
        <f>F11*G11</f>
        <v>650</v>
      </c>
    </row>
    <row r="12" spans="3:18">
      <c r="G12" t="s">
        <v>550</v>
      </c>
      <c r="H12">
        <f>SUM(H4:H11)</f>
        <v>4310</v>
      </c>
      <c r="I12">
        <f>H12/100</f>
        <v>43.1</v>
      </c>
      <c r="J12">
        <f>I12/2.4</f>
        <v>17.958333333333336</v>
      </c>
    </row>
    <row r="18" spans="3:3">
      <c r="C18">
        <f>210+50+50</f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Расчёт колличества бетона </vt:lpstr>
      <vt:lpstr>Покупки для дома</vt:lpstr>
      <vt:lpstr>расчёт труб отопления</vt:lpstr>
      <vt:lpstr>Лист1</vt:lpstr>
      <vt:lpstr>расчёт площади утепления дома</vt:lpstr>
      <vt:lpstr>расчёт объёма бетона для мп1</vt:lpstr>
      <vt:lpstr>Расчёт балок перекрытия</vt:lpstr>
      <vt:lpstr>Материалы</vt:lpstr>
      <vt:lpstr>Расчёт арматуры</vt:lpstr>
      <vt:lpstr>Оси</vt:lpstr>
      <vt:lpstr>Высоты</vt:lpstr>
      <vt:lpstr>Розетки и освещение</vt:lpstr>
      <vt:lpstr>сравнение цен на 13_02_26</vt:lpstr>
      <vt:lpstr>котельная и вентиляция</vt:lpstr>
      <vt:lpstr>дерево заказ на 18 апр 2026</vt:lpstr>
      <vt:lpstr>расчёт кол-ва профилей оконных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BeschanovZS</dc:creator>
  <cp:lastModifiedBy>Жан Бещанов</cp:lastModifiedBy>
  <dcterms:created xsi:type="dcterms:W3CDTF">2024-02-26T07:15:52Z</dcterms:created>
  <dcterms:modified xsi:type="dcterms:W3CDTF">2026-10-11T11:03:54Z</dcterms:modified>
</cp:coreProperties>
</file>