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Лист1" sheetId="19" r:id="rId4"/>
    <sheet name="расчёт площади утепления дома" sheetId="16" r:id="rId5"/>
    <sheet name="расчёт объёма бетона для мп1" sheetId="10" r:id="rId6"/>
    <sheet name="Расчёт балок перекрытия" sheetId="11" r:id="rId7"/>
    <sheet name="Материалы" sheetId="3" r:id="rId8"/>
    <sheet name="Расчёт арматуры" sheetId="9" r:id="rId9"/>
    <sheet name="Оси" sheetId="8" r:id="rId10"/>
    <sheet name="Высоты" sheetId="7" r:id="rId11"/>
    <sheet name="Розетки и освещение" sheetId="12" r:id="rId12"/>
    <sheet name="сравнение цен на 13_02_26" sheetId="13" r:id="rId13"/>
    <sheet name="котельная и вентиляция" sheetId="14" r:id="rId14"/>
    <sheet name="дерево заказ на 18 апр 2026" sheetId="15" r:id="rId15"/>
    <sheet name="расчёт кол-ва профилей оконных" sheetId="17" r:id="rId16"/>
  </sheets>
  <calcPr calcId="152511"/>
</workbook>
</file>

<file path=xl/calcChain.xml><?xml version="1.0" encoding="utf-8"?>
<calcChain xmlns="http://schemas.openxmlformats.org/spreadsheetml/2006/main">
  <c r="D615" i="6" l="1"/>
  <c r="D614" i="6" l="1"/>
  <c r="D608" i="6"/>
  <c r="D603" i="6" l="1"/>
  <c r="L7" i="18" l="1"/>
  <c r="I492" i="6" l="1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l="1"/>
  <c r="F13" i="18" s="1"/>
  <c r="P3" i="17"/>
  <c r="P4" i="17"/>
  <c r="C18" i="17"/>
  <c r="F11" i="17"/>
  <c r="H11" i="17" s="1"/>
  <c r="F8" i="17"/>
  <c r="H8" i="17" s="1"/>
  <c r="F4" i="17"/>
  <c r="H4" i="17" s="1"/>
  <c r="P5" i="17" l="1"/>
  <c r="Q5" i="17" s="1"/>
  <c r="R5" i="17" s="1"/>
  <c r="H12" i="17"/>
  <c r="I12" i="17" s="1"/>
  <c r="J12" i="17" s="1"/>
  <c r="D531" i="6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E4" i="16"/>
  <c r="F4" i="16" s="1"/>
  <c r="D504" i="6"/>
  <c r="I491" i="6" s="1"/>
  <c r="I493" i="6" l="1"/>
  <c r="I494" i="6"/>
  <c r="F7" i="16"/>
  <c r="D480" i="6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629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<sst xmlns="http://schemas.openxmlformats.org/spreadsheetml/2006/main" count="1677" uniqueCount="1021">
  <si>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</si>
  <si>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</si>
  <si>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</si>
  <si>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</si>
  <si>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</si>
  <si>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</si>
  <si>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</si>
  <si>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</si>
  <si>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</si>
  <si>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</si>
  <si>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</si>
  <si>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</si>
  <si>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</si>
  <si>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</si>
  <si>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</si>
  <si>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</si>
  <si>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</si>
  <si>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</si>
  <si>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</si>
  <si>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</si>
  <si>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</si>
  <si>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</si>
  <si>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</si>
  <si>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</si>
  <si>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</si>
  <si>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</si>
  <si>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</si>
  <si>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</si>
  <si>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</si>
  <si>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</si>
  <si>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</si>
  <si>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</si>
  <si>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</si>
  <si>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</si>
  <si>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</si>
  <si>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</si>
  <si>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</si>
  <si>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</si>
  <si>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</si>
  <si>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</si>
  <si>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</si>
  <si>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</si>
  <si>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</si>
  <si>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</si>
  <si>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</si>
  <si>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</si>
  <si>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</si>
  <si>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</si>
  <si>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</si>
  <si>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</si>
  <si>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</si>
  <si>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</si>
  <si>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</si>
  <si>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</si>
  <si>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</si>
  <si>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</si>
  <si>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</si>
  <si>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</si>
  <si>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</si>
  <si>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</si>
  <si>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</si>
  <si>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</si>
  <si>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</si>
  <si>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</si>
  <si>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</si>
  <si>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</si>
  <si>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</si>
  <si>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</si>
  <si>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</si>
  <si>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</si>
  <si>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</si>
  <si>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</si>
  <si>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</si>
  <si>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</si>
  <si>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</si>
  <si>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</si>
  <si>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</si>
  <si>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</si>
  <si>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</si>
  <si>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</si>
  <si>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</si>
  <si>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</si>
  <si>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</si>
  <si>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</si>
  <si>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</si>
  <si>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</si>
  <si>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</si>
  <si>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</si>
  <si>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</si>
  <si>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</si>
  <si>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</si>
  <si>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</si>
  <si>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</si>
  <si>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</si>
  <si>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</si>
  <si>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</si>
  <si>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</si>
  <si>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</si>
  <si>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</si>
  <si>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</si>
  <si>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</si>
  <si>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</si>
  <si>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</si>
  <si>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</si>
  <si>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</si>
  <si>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</si>
  <si>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</si>
  <si>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</si>
  <si>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</si>
  <si>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</si>
  <si>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</si>
  <si>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</si>
  <si>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</si>
  <si>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</si>
  <si>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</si>
  <si>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</si>
  <si>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</si>
  <si>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</si>
  <si>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</si>
  <si>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</si>
  <si>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</si>
  <si>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</si>
  <si>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</si>
  <si>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</si>
  <si>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</si>
  <si>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</si>
  <si>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</si>
  <si>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</si>
  <si>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</si>
  <si>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</si>
  <si>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</si>
  <si>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</si>
  <si>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</si>
  <si>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</si>
  <si>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</si>
  <si>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</si>
  <si>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</si>
  <si>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</si>
  <si>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</si>
  <si>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</si>
  <si>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</si>
  <si>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</si>
  <si>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</si>
  <si>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</si>
  <si>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</si>
  <si>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</si>
  <si>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</si>
  <si>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</si>
  <si>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</si>
  <si>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</si>
  <si>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</si>
  <si>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</si>
  <si>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</si>
  <si>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</si>
  <si>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</si>
  <si>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</si>
  <si>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</si>
  <si>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</si>
  <si>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</si>
  <si>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</si>
  <si>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</si>
  <si>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</si>
  <si>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</si>
  <si>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</si>
  <si>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</si>
  <si>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</si>
  <si>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</si>
  <si>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</si>
  <si>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</si>
  <si>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</si>
  <si>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</si>
  <si>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</si>
  <si>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</si>
  <si>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</si>
  <si>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</si>
  <si>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</si>
  <si>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</si>
  <si>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</si>
  <si>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</si>
  <si>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</si>
  <si>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</si>
  <si>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</si>
  <si>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</si>
  <si>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</si>
  <si>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</si>
  <si>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</si>
  <si>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</si>
  <si>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</si>
  <si>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</si>
  <si>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</si>
  <si>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</si>
  <si>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</si>
  <si>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</si>
  <si>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</si>
  <si>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</si>
  <si>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</si>
  <si>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</si>
  <si>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</si>
  <si>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</si>
  <si>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</si>
  <si>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</si>
  <si>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</si>
  <si>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</si>
  <si>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</si>
  <si>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</si>
  <si>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</si>
  <si>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</si>
  <si>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</si>
  <si>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</si>
  <si>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</si>
  <si>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</si>
  <si>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</si>
  <si>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</si>
  <si>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</si>
  <si>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</si>
  <si>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</si>
  <si>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</si>
  <si>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</si>
  <si>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</si>
  <si>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</si>
  <si>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</si>
  <si>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</si>
  <si>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</si>
  <si>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</si>
  <si>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</si>
  <si>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</si>
  <si>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</si>
  <si>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</si>
  <si>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</si>
  <si>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</si>
  <si>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</si>
  <si>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</si>
  <si>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</si>
  <si>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</si>
  <si>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</si>
  <si>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</si>
  <si>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</si>
  <si>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</si>
  <si>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</si>
  <si>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</si>
  <si>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</si>
  <si>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</si>
  <si>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</si>
  <si>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</si>
  <si>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</si>
  <si>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</si>
  <si>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</si>
  <si>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</si>
  <si>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</si>
  <si>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</si>
  <si>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</si>
  <si>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</si>
  <si>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</si>
  <si>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</si>
  <si>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</si>
  <si>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</si>
  <si>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</si>
  <si>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</si>
  <si>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</si>
  <si>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</si>
  <si>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</si>
  <si>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</si>
  <si>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</si>
  <si>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</si>
  <si>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</si>
  <si>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</si>
  <si>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</si>
  <si>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</si>
  <si>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</si>
  <si>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</si>
  <si>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</si>
  <si>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</si>
  <si>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</si>
  <si>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</si>
  <si>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</si>
  <si>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</si>
  <si>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</si>
  <si>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</si>
  <si>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</si>
  <si>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</si>
  <si>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</si>
  <si>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</si>
  <si>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</si>
  <si>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</si>
  <si>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</si>
  <si>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</si>
  <si>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</si>
  <si>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</si>
  <si>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</si>
  <si>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</si>
  <si>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</si>
  <si>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</si>
  <si>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</si>
  <si>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</si>
  <si>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</si>
  <si>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</si>
  <si>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</si>
  <si>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</si>
  <si>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</si>
  <si>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</si>
  <si>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</si>
  <si>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</si>
  <si>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</si>
  <si>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</si>
  <si>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</si>
  <si>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</si>
  <si>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</si>
  <si>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</si>
  <si>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</si>
  <si>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</si>
  <si>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</si>
  <si>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</si>
  <si>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</si>
  <si>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</si>
  <si>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</si>
  <si>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</si>
  <si>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</si>
  <si>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</si>
  <si>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</si>
  <si>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</si>
  <si>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</si>
  <si>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</si>
  <si>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</si>
  <si>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</si>
  <si>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</si>
  <si>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</si>
  <si>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</si>
  <si>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</si>
  <si>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</si>
  <si>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</si>
  <si>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</si>
  <si>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</si>
  <si>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</si>
  <si>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</si>
  <si>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</si>
  <si>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</si>
  <si>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</si>
  <si>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</si>
  <si>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</si>
  <si>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</si>
  <si>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</si>
  <si>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</si>
  <si>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</si>
  <si>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</si>
  <si>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</si>
  <si>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</si>
  <si>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</si>
  <si>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</si>
  <si>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</si>
  <si>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</si>
  <si>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</si>
  <si>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</si>
  <si>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</si>
  <si>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</si>
  <si>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</si>
  <si>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</si>
  <si>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</si>
  <si>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</si>
  <si>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</si>
  <si>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</si>
  <si>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</si>
  <si>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</si>
  <si>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</si>
  <si>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</si>
  <si>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</si>
  <si>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</si>
  <si>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</si>
  <si>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</si>
  <si>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</si>
  <si>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</si>
  <si>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</si>
  <si>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</si>
  <si>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</si>
  <si>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</si>
  <si>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</si>
  <si>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</si>
  <si>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</si>
  <si>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</si>
  <si>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</si>
  <si>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</si>
  <si>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</si>
  <si>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</si>
  <si>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</si>
  <si>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</si>
  <si>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</si>
  <si>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</si>
  <si>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</si>
  <si>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</si>
  <si>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</si>
  <si>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</si>
  <si>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</si>
  <si>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</si>
  <si>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</si>
  <si>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</si>
  <si>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</si>
  <si>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</si>
  <si>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</si>
  <si>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</si>
  <si>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</si>
  <si>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</si>
  <si>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</si>
  <si>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</si>
  <si>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</si>
  <si>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</si>
  <si>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</si>
  <si>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</si>
  <si>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</si>
  <si>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</si>
  <si>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</si>
  <si>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</si>
  <si>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</si>
  <si>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</si>
  <si>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</si>
  <si>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</si>
  <si>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</si>
  <si>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</si>
  <si>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</si>
  <si>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</si>
  <si>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</si>
  <si>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</si>
  <si>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</si>
  <si>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</si>
  <si>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</si>
  <si>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</si>
  <si>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</si>
  <si>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</si>
  <si>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</si>
  <si>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</si>
  <si>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</si>
  <si>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</si>
  <si>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</si>
  <si>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</si>
  <si>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</si>
  <si>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</si>
  <si>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</si>
  <si>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</si>
  <si>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</si>
  <si>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</si>
  <si>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</si>
  <si>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</si>
  <si>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</si>
  <si>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</si>
  <si>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</si>
  <si>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</si>
  <si>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</si>
  <si>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</si>
  <si>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</si>
  <si>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</si>
  <si>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</si>
  <si>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</si>
  <si>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</si>
  <si>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</si>
  <si>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</si>
  <si>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</si>
  <si>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</si>
  <si>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</si>
  <si>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</si>
  <si>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</si>
  <si>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</si>
  <si>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</si>
  <si>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</si>
  <si>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</si>
  <si>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</si>
  <si>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</si>
  <si>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</si>
  <si>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</si>
  <si>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</si>
  <si>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</si>
  <si>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</si>
  <si>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</si>
  <si>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</si>
  <si>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</si>
  <si>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</si>
  <si>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</si>
  <si>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</si>
  <si>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</si>
  <si>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</si>
  <si>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</si>
  <si>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</si>
  <si>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</si>
  <si>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</si>
  <si>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</si>
  <si>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</si>
  <si>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</si>
  <si>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</si>
  <si>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</si>
  <si>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</si>
  <si>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</si>
  <si>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</si>
  <si>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</si>
  <si>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</si>
  <si>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</si>
  <si>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</si>
  <si>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</si>
  <si>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</si>
  <si>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</si>
  <si>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</si>
  <si>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</si>
  <si>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</si>
  <si>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</si>
  <si>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</si>
  <si>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</si>
  <si>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</si>
  <si>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</si>
  <si>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</si>
  <si>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</si>
  <si>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</si>
  <si>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</si>
  <si>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</si>
  <si>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</si>
  <si>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</si>
  <si>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</si>
  <si>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</si>
  <si>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</si>
  <si>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</si>
  <si>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</si>
  <si>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</si>
  <si>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</si>
  <si>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</si>
  <si>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</si>
  <si>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</si>
  <si>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</si>
  <si>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</si>
  <si>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</si>
  <si>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</si>
  <si>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</si>
  <si>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</si>
  <si>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</si>
  <si>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</si>
  <si>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</si>
  <si>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</si>
  <si>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</si>
  <si>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</si>
  <si>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</si>
  <si>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</si>
  <si>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</si>
  <si>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</si>
  <si>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</si>
  <si>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</si>
  <si>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</si>
  <si>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</si>
  <si>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</si>
  <si>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</si>
  <si>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</si>
  <si>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</si>
  <si>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</si>
  <si>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</si>
  <si>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</si>
  <si>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</si>
  <si>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</si>
  <si>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</si>
  <si>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</si>
  <si>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</si>
  <si>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</si>
  <si>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</si>
  <si>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</si>
  <si>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</si>
  <si>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</si>
  <si>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</si>
  <si>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</si>
  <si>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</si>
  <si>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</si>
  <si>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</si>
  <si>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</si>
  <si>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</si>
  <si>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</si>
  <si>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</si>
  <si>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</si>
  <si>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</si>
  <si>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</si>
  <si>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</si>
  <si>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</si>
  <si>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</si>
  <si>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</si>
  <si>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</si>
  <si>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</si>
  <si>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</si>
  <si>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</si>
  <si>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</si>
  <si>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</si>
  <si>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</si>
  <si>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</si>
  <si>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</si>
  <si>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</si>
  <si>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</si>
  <si>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</si>
  <si>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</si>
  <si>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</si>
  <si>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</si>
  <si>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</si>
  <si>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</si>
  <si>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</si>
  <si>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</si>
  <si>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</si>
  <si>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</si>
  <si>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</si>
  <si>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</si>
  <si>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</si>
  <si>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</si>
  <si>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</si>
  <si>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</si>
  <si>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</si>
  <si>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</si>
  <si>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</si>
  <si>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</si>
  <si>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</si>
  <si>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</si>
  <si>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</si>
  <si>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</si>
  <si>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</si>
  <si>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</si>
  <si>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</si>
  <si>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</si>
  <si>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</si>
  <si>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</si>
  <si>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</si>
  <si>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</si>
  <si>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</si>
  <si>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</si>
  <si>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</si>
  <si>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</si>
  <si>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</si>
  <si>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</si>
  <si>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</si>
  <si>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</si>
  <si>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</si>
  <si>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</si>
  <si>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</si>
  <si>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</si>
  <si>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</si>
  <si>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</si>
  <si>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</si>
  <si>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</si>
  <si>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</si>
  <si>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</si>
  <si>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</si>
  <si>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</si>
  <si>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</si>
  <si>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</si>
  <si>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</si>
  <si>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</si>
  <si>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</si>
  <si>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</si>
  <si>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</si>
  <si>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</si>
  <si>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</si>
  <si>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</si>
  <si>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</si>
  <si>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</si>
  <si>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</si>
  <si>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</si>
  <si>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</si>
  <si>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</si>
  <si>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</si>
  <si>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</si>
  <si>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</si>
  <si>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</si>
  <si>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</si>
  <si>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</si>
  <si>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</si>
  <si>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</si>
  <si>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</si>
  <si>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</si>
  <si>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</si>
  <si>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</si>
  <si>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</si>
  <si>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</si>
  <si>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</si>
  <si>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</si>
  <si>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</si>
  <si>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</si>
  <si>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</si>
  <si>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</si>
  <si>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</si>
  <si>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</si>
  <si>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</si>
  <si>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</si>
  <si>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</si>
  <si>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</si>
  <si>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</si>
  <si>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</si>
  <si>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</si>
  <si>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</si>
  <si>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</si>
  <si>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</si>
  <si>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</si>
  <si>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</si>
  <si>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</si>
  <si>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</si>
  <si>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</si>
  <si>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</si>
  <si>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</si>
  <si>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</si>
  <si>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</si>
  <si>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</si>
  <si>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</si>
  <si>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</si>
  <si>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</si>
  <si>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</si>
  <si>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</si>
  <si>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</si>
  <si>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</si>
  <si>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</si>
  <si>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</si>
  <si>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</si>
  <si>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</si>
  <si>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</si>
  <si>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</si>
  <si>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</si>
  <si>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</si>
  <si>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</si>
  <si>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</si>
  <si>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</si>
  <si>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</si>
  <si>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</si>
  <si>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</si>
  <si>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</si>
  <si>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</si>
  <si>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</si>
  <si>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</si>
  <si>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</si>
  <si>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</si>
  <si>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</si>
  <si>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</si>
  <si>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</si>
  <si>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</si>
  <si>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</si>
  <si>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</si>
  <si>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</si>
  <si>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</si>
  <si>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</si>
  <si>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</si>
  <si>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</si>
  <si>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</si>
  <si>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</si>
  <si>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</si>
  <si>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</si>
  <si>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</si>
  <si>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</si>
  <si>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</si>
  <si>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</si>
  <si>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</si>
  <si>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</si>
  <si>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</si>
  <si>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</si>
  <si>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</si>
  <si>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</si>
  <si>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</si>
  <si>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</si>
  <si>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</si>
  <si>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</si>
  <si>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</si>
  <si>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</si>
  <si>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</si>
  <si>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</si>
  <si>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</si>
  <si>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</si>
  <si>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</si>
  <si>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</si>
  <si>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</si>
  <si>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</si>
  <si>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</si>
  <si>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</si>
  <si>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</si>
  <si>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</si>
  <si>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</si>
  <si>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</si>
  <si>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</si>
  <si>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</si>
  <si>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</si>
  <si>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</si>
  <si>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</si>
  <si>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</si>
  <si>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</si>
  <si>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</si>
  <si>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</si>
  <si>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</si>
  <si>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</si>
  <si>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</si>
  <si>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</si>
  <si>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</si>
  <si>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</si>
  <si>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</si>
  <si>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</si>
  <si>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</si>
  <si>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</si>
  <si>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</si>
  <si>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</si>
  <si>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</si>
  <si>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</si>
  <si>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</si>
  <si>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</si>
  <si>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</si>
  <si>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</si>
  <si>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</si>
  <si>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</si>
  <si>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</si>
  <si>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</si>
  <si>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</si>
  <si>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</si>
  <si>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</si>
  <si>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</si>
  <si>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</si>
  <si>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</si>
  <si>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</si>
  <si>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</si>
  <si>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</si>
  <si>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</si>
  <si>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</si>
  <si>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</si>
  <si>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</si>
  <si>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</si>
  <si>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</si>
  <si>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</si>
  <si>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</si>
  <si>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</si>
  <si>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</si>
  <si>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</si>
  <si>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</si>
  <si>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</si>
  <si>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</si>
  <si>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</si>
  <si>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</si>
  <si>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</si>
  <si>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</si>
  <si>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</si>
  <si>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</si>
  <si>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</si>
  <si>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</si>
  <si>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</si>
  <si>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</si>
  <si>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</si>
  <si>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</si>
  <si>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</si>
  <si>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</si>
  <si>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</si>
  <si>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</si>
  <si>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</si>
  <si>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</si>
  <si>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</si>
  <si>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</si>
  <si>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</si>
  <si>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</si>
  <si>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</si>
  <si>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</si>
  <si>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</si>
  <si>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</si>
  <si>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</si>
  <si>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</si>
  <si>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</si>
  <si>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</si>
  <si>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</si>
  <si>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</si>
  <si>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</si>
  <si>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</si>
  <si>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</si>
  <si>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</si>
  <si>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</si>
  <si>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</si>
  <si>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</si>
  <si>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</si>
  <si>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</si>
  <si>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</si>
  <si>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</si>
  <si>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</si>
  <si>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</si>
  <si>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</si>
  <si>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</si>
  <si>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</si>
  <si>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</si>
  <si>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</si>
  <si>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</si>
  <si>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</si>
  <si>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</si>
  <si>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</si>
  <si>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</si>
  <si>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</si>
  <si>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</si>
  <si>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</si>
  <si>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</si>
  <si>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</si>
  <si>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</si>
  <si>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</si>
  <si>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</si>
  <si>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</si>
  <si>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</si>
  <si>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</si>
  <si>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</si>
  <si>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</si>
  <si>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</si>
  <si>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</si>
  <si>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</si>
  <si>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</si>
  <si>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</si>
  <si>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</si>
  <si>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</si>
  <si>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</si>
  <si>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</si>
  <si>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</si>
  <si>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</si>
  <si>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</si>
  <si>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</si>
  <si>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</si>
  <si>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</si>
  <si>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</si>
  <si>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</si>
  <si>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</si>
  <si>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</si>
  <si>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</si>
  <si>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</si>
  <si>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</si>
  <si>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</si>
  <si>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</si>
  <si>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</si>
  <si>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</si>
  <si>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</si>
  <si>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</si>
  <si>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</si>
  <si>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</si>
  <si>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</si>
  <si>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</si>
  <si>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</si>
  <si>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</si>
  <si>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</si>
  <si>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</si>
  <si>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</si>
  <si>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</si>
  <si>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</si>
  <si>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</si>
  <si>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</si>
  <si>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</si>
  <si>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</si>
  <si>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</si>
  <si>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</si>
  <si>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</si>
  <si>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</si>
  <si>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</si>
  <si>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</si>
  <si>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</si>
  <si>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</si>
  <si>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</si>
  <si>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</si>
  <si>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</si>
  <si>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</si>
  <si>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</si>
  <si>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</si>
  <si>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</si>
  <si>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</si>
  <si>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</si>
  <si>
    <t>№</t>
  </si>
  <si>
    <t>цена</t>
  </si>
  <si>
    <t>наименование</t>
  </si>
  <si>
    <t>Труба металлопластиковая VALTEC PEX-AL-PEX 16х2,0 мм</t>
  </si>
  <si>
    <t>200 м</t>
  </si>
  <si>
    <t>Кабель ВВГп-нг(A)-LS 3х1,5 мм2 100 м твердый плоский Конкорд</t>
  </si>
  <si>
    <t>100 м</t>
  </si>
  <si>
    <t>Кабель ВВГп-нг(A)-LS 3х2,5 мм2 100 м твердый плоский Конкорд</t>
  </si>
  <si>
    <t>итого:</t>
  </si>
  <si>
    <t>Кабель ВВГ-пнг(A)-LS 3* 1,5 (ГОСТ) (плоский)</t>
  </si>
  <si>
    <t>Кабель ВВГ-пнг(A)-LS 3* 1,5 (ГОСТ) (плоский) ноунейм</t>
  </si>
  <si>
    <t>Кабель ВВГ-пнг(A)-LS 3*2,5 (ГОСТ) (плоский)</t>
  </si>
  <si>
    <t>Кабель ВВГ-пнг(A)-LS 3*2,5 (ГОСТ) (плоский) (бухтами по 100м) -0,66 зелёный</t>
  </si>
  <si>
    <t>Кабель Партнер-Электро ВВГпнг(A)-LS 3x2.5 100 м ГОСТ цвет черный</t>
  </si>
  <si>
    <t>Кабель Партнер-Электро ВВГпнг(A)-LS 3x1.5 100 м ГОСТ цвет черный</t>
  </si>
  <si>
    <t>ИП Савельев Электроцентр</t>
  </si>
  <si>
    <t>Кабель ВВГ-пнг(А)-LS 3*1,5 100 метров</t>
  </si>
  <si>
    <t>Кабель ВВГ-пнг(А)-LS 3*2,5 100 метров</t>
  </si>
  <si>
    <t>площадка под стяжку усиленная для прямого монтажа черная 50 шт, промрукав</t>
  </si>
  <si>
    <t>коробка распред 85\85\42 серая 5 шт</t>
  </si>
  <si>
    <t>коробка распред 80\80\40 черн 5 шт</t>
  </si>
  <si>
    <t>хомут 4,0 * 150 черн нейлон морозостойкое упак 100шт</t>
  </si>
  <si>
    <t>труба гофр ПВХ 20 мм серая с зондом IEK 100 метров</t>
  </si>
  <si>
    <t>труба металопластиковая pex-al-pex 16x2.0 valtec 200 метров -бухта</t>
  </si>
  <si>
    <t>колодка клеммная 12 пар (2,5-6,0 мм2) 10А черная iek</t>
  </si>
  <si>
    <t>крепление для ппр труб 16 (10шт упак) 2 упак</t>
  </si>
  <si>
    <t>Регулятор напряжения и мощности, диммер 220V 4000 Вт (4 кВт)</t>
  </si>
  <si>
    <t xml:space="preserve">очиститель незатвердевшей монтажной пены 500 мл Технониколь </t>
  </si>
  <si>
    <t>клей пена монтажная профессионал 500 - 1000 мл Технониколь</t>
  </si>
  <si>
    <t xml:space="preserve">стажка кабельная 2,5 х 169мм черная 100 шт safeline </t>
  </si>
  <si>
    <t xml:space="preserve">дюбель хомут 10/5 плоский черный 50 шт ekf </t>
  </si>
  <si>
    <t xml:space="preserve">площадка под стяжку компакт 16х23  белая 100шт / упак dynel </t>
  </si>
  <si>
    <t xml:space="preserve">дюбель хомут 14/6 плоский черный 50 шт ekf </t>
  </si>
  <si>
    <t xml:space="preserve">скобы тип 140 12мм 1000шт dorn </t>
  </si>
  <si>
    <t>Коронка по бетону SDS-Plus 80мм с хвостовиком DORN (для коробок расключения )</t>
  </si>
  <si>
    <t>ИП Зверев Электроцентр</t>
  </si>
  <si>
    <t xml:space="preserve">кабель ввгп-нг ls 3x2,5 мм2 - 50 метров; гофра труба пвх 100 метров; </t>
  </si>
  <si>
    <t>дюбель хомут; стяжки</t>
  </si>
  <si>
    <t>Труба гофрированная ПВХ 25мм с/з 15м IEK</t>
  </si>
  <si>
    <t>кабель ВВГ нг(А) ls 5x4 mm2 круглый 8 метров</t>
  </si>
  <si>
    <t>кабель ВВГ-пнг-ls 3х2,5 мм2 50 метров</t>
  </si>
  <si>
    <t xml:space="preserve">щётка смётка econova </t>
  </si>
  <si>
    <t xml:space="preserve">совок пластиковый </t>
  </si>
  <si>
    <t>кабель твёрдый плоский ввгп-нг-ls 3x2,5 мм2 50 метров ПРОМЭКО</t>
  </si>
  <si>
    <t>Маркер разметочный 3мм чёрный 2 шт</t>
  </si>
  <si>
    <t xml:space="preserve">полумаска изолирующая исток -300/400 с фильтрами А1Р1 </t>
  </si>
  <si>
    <t>фильтр комбинированный к полумаске исток 300/400 а1р1 2 шт в упак</t>
  </si>
  <si>
    <t>кабель твёрдый плоский ввгп-нг-ls 3x2,5 мм2 20 метров ПРОМЭКО</t>
  </si>
  <si>
    <t>Труба гофрированная ПВХ "легкая" 20мм с/з 25м Эра</t>
  </si>
  <si>
    <t>угловая шлифмашинка 150мм 1500 Вт регул оборотов HAG15150EC hanskonner</t>
  </si>
  <si>
    <t xml:space="preserve">стальной лист 0.2х125х250 см + 2 полосы п 6 м.  </t>
  </si>
  <si>
    <t>КСМ39, ООО СИТ лист ГК 2х1250х2500 мм - 4100Р; полоса 25х4х6000мм 2шт - 1040р</t>
  </si>
  <si>
    <t>Воздуховод круглый пластиковый 100 мм х 1 м 10ВП1 ERA</t>
  </si>
  <si>
    <t>Воздуховод круглый пластиковый 100 мм х 1,5 м 10ВП1,5 ERA</t>
  </si>
  <si>
    <t>соединитель фасонных элементов (отрезок канала) fc d100 пластик ЭРА</t>
  </si>
  <si>
    <t xml:space="preserve">гильза медная лужённая гмл 6-4 10 шт </t>
  </si>
  <si>
    <t xml:space="preserve">гильза медная лужённая гмл 10-5 10 шт </t>
  </si>
  <si>
    <t>труба металопластиковая pex-al-pex 20x2.0 valtec 50 метров</t>
  </si>
  <si>
    <t>ООО "Контур Лидер" контуртерм</t>
  </si>
  <si>
    <t>котёл газовый двухконтурный Haier TechLine S 2.24 TW 3,4-23,9 кВт (закрытая камера сгорания)</t>
  </si>
  <si>
    <t>вывоз мусора</t>
  </si>
  <si>
    <t xml:space="preserve"> Авито Семён</t>
  </si>
  <si>
    <t>прокат - аренда пресс клещей Valtec</t>
  </si>
  <si>
    <t>тройник-пресс D20 sempiter icma 5 шт</t>
  </si>
  <si>
    <t>тройник канализационный D50/50 mm угол 45 ртп</t>
  </si>
  <si>
    <t>гильза медная лужённая гмл 10-5 10 шт.\упак DORI</t>
  </si>
  <si>
    <t>Колено канализационное d50мм угол 45° РТП</t>
  </si>
  <si>
    <t>труба канализационная 50 х 250 х 1,8 мм РТП</t>
  </si>
  <si>
    <t>крестовина канализационная одноплоскостная D110/50/50 mm угол 90, РТП</t>
  </si>
  <si>
    <t>труба канализационная 50х500х1,8 мм ртп</t>
  </si>
  <si>
    <t>труба металлопластиковая pex-al-pex 20x2 valtec 24 метра</t>
  </si>
  <si>
    <t>калибр для металлопластиковой трубы 16-20-26 с ножами для снятия фаски Valtec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</si>
</sst>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-* #,##0.00\ &quot;₽&quot;_-;\-* #,##0.00\ &quot;₽&quot;_-;_-* &quot;-&quot;??\ &quot;₽&quot;_-;_-@_-"/>
    <numFmt numFmtId="165" formatCode="#,##0.00\ &quot;₽&quot;"/>
    <numFmt numFmtId="166" formatCode="#,##0.00\ &quot;р.&quot;"/>
  </numFmts>
  <fonts count="39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61D37"/>
      <name val="Formular Regular"/>
    </font>
    <font>
      <sz val="10"/>
      <color theme="1"/>
      <name val="Calibri"/>
      <family val="2"/>
      <charset val="204"/>
      <scheme val="minor"/>
    </font>
    <font>
      <sz val="10"/>
      <color rgb="FF21282B"/>
      <name val="Calibri"/>
      <family val="2"/>
      <charset val="204"/>
      <scheme val="minor"/>
    </font>
    <font>
      <sz val="11"/>
      <color rgb="FF070707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  <xf numFmtId="164" fontId="34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1" applyAlignment="1" applyProtection="1"/>
    <xf numFmtId="0" fontId="3" fillId="0" borderId="0" xfId="0" applyFont="1"/>
    <xf numFmtId="165" fontId="0" fillId="0" borderId="0" xfId="0" applyNumberFormat="1"/>
    <xf numFmtId="0" fontId="0" fillId="0" borderId="0" xfId="0" applyBorder="1"/>
    <xf numFmtId="165" fontId="0" fillId="0" borderId="0" xfId="0" applyNumberFormat="1" applyBorder="1"/>
    <xf numFmtId="0" fontId="0" fillId="2" borderId="0" xfId="0" applyFill="1"/>
    <xf numFmtId="166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6" fontId="11" fillId="0" borderId="0" xfId="0" applyNumberFormat="1" applyFont="1"/>
    <xf numFmtId="0" fontId="12" fillId="0" borderId="0" xfId="0" applyFont="1"/>
    <xf numFmtId="166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6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6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6" fontId="0" fillId="0" borderId="1" xfId="0" applyNumberFormat="1" applyBorder="1"/>
    <xf numFmtId="0" fontId="35" fillId="0" borderId="0" xfId="0" applyFont="1"/>
    <xf numFmtId="164" fontId="0" fillId="0" borderId="0" xfId="3" applyFont="1"/>
    <xf numFmtId="0" fontId="36" fillId="0" borderId="0" xfId="0" applyFont="1" applyAlignment="1">
      <alignment vertical="center" wrapText="1"/>
    </xf>
    <xf numFmtId="0" fontId="37" fillId="0" borderId="0" xfId="0" applyFont="1"/>
    <xf numFmtId="0" fontId="38" fillId="0" borderId="0" xfId="0" applyFont="1" applyAlignment="1">
      <alignment vertical="center" wrapText="1"/>
    </xf>
  </cellXfs>
  <cellStyles count="4">
    <cellStyle name="Гиперссылка" xfId="1" builtinId="8"/>
    <cellStyle name="Денежный" xfId="3" builtinId="4"/>
    <cellStyle name="Обычный" xfId="0" builtinId="0"/>
    <cellStyle name="Процентный" xfId="2" builtinId="5"/>
  </cellStyles>
  <dxfs count="41">
    <dxf>
      <numFmt numFmtId="19" formatCode="dd/mm/yyyy"/>
    </dxf>
    <dxf>
      <numFmt numFmtId="166" formatCode="#,##0.00\ &quot;р.&quot;"/>
    </dxf>
    <dxf>
      <border diagonalUp="0" diagonalDown="0" outline="0">
        <left/>
        <right/>
        <top/>
        <bottom/>
      </border>
    </dxf>
    <dxf>
      <numFmt numFmtId="165" formatCode="#,##0.00\ &quot;₽&quot;"/>
      <border diagonalUp="0" diagonalDown="0" outline="0">
        <left/>
        <right/>
        <top/>
        <bottom/>
      </border>
    </dxf>
    <dxf>
      <numFmt numFmtId="165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#,##0.00\ &quot;₽&quot;"/>
    </dxf>
    <dxf>
      <numFmt numFmtId="165" formatCode="#,##0.00\ &quot;₽&quot;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61D37"/>
        <name val="Formular Regular"/>
        <scheme val="none"/>
      </font>
    </dxf>
    <dxf>
      <numFmt numFmtId="19" formatCode="dd/mm/yyyy"/>
    </dxf>
    <dxf>
      <numFmt numFmtId="166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629" totalsRowCount="1">
  <autoFilter ref="B5:F628"/>
  <tableColumns count="5">
    <tableColumn id="1" name="№ п/п"/>
    <tableColumn id="2" name="Наименование "/>
    <tableColumn id="3" name="Цена (руб)" totalsRowFunction="sum" dataDxfId="40" totalsRowDxfId="1"/>
    <tableColumn id="4" name="Примечание"/>
    <tableColumn id="5" name="дата" dataDxfId="39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3" name="Таблица23" displayName="Таблица23" ref="I3:L7" totalsRowShown="0">
  <autoFilter ref="I3:L7"/>
  <tableColumns count="4">
    <tableColumn id="1" name="№"/>
    <tableColumn id="2" name="наименование" dataDxfId="38"/>
    <tableColumn id="3" name="количество"/>
    <tableColumn id="4" name="цена" dataDxfId="37" dataCellStyle="Денежный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6" name="Таблица26" displayName="Таблица26" ref="I10:L14" totalsRowShown="0">
  <autoFilter ref="I10:L14"/>
  <tableColumns count="4">
    <tableColumn id="1" name="№"/>
    <tableColumn id="2" name="наименование" dataDxfId="36"/>
    <tableColumn id="3" name="количество"/>
    <tableColumn id="4" name="цена" dataDxfId="35" dataCellStyle="Денежный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21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glenar.ru/page/stoimost-i-sposoby-dostavki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6" Type="http://schemas.openxmlformats.org/officeDocument/2006/relationships/comments" Target="../comments1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629"/>
  <sheetViews>
    <sheetView tabSelected="1" topLeftCell="A598" workbookViewId="0">
      <selection activeCell="E621" sqref="E621"/>
    </sheetView>
  </sheetViews>
  <sheetFormatPr defaultRowHeight="1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>
      <c r="C3" s="8" t="s">
        <v>50</v>
      </c>
    </row>
    <row r="5" spans="2:6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>
      <c r="B7">
        <v>2</v>
      </c>
      <c r="C7" t="s">
        <v>42</v>
      </c>
      <c r="D7" s="7">
        <v>2000</v>
      </c>
      <c r="E7" t="s">
        <v>43</v>
      </c>
      <c r="F7" s="9"/>
    </row>
    <row r="8" spans="2:6">
      <c r="B8">
        <v>3</v>
      </c>
      <c r="C8" t="s">
        <v>44</v>
      </c>
      <c r="D8" s="7">
        <v>4000</v>
      </c>
      <c r="E8" t="s">
        <v>45</v>
      </c>
      <c r="F8" s="9"/>
    </row>
    <row r="9" spans="2:6">
      <c r="B9">
        <v>4</v>
      </c>
      <c r="C9" t="s">
        <v>46</v>
      </c>
      <c r="D9" s="7">
        <v>41000</v>
      </c>
      <c r="E9" t="s">
        <v>47</v>
      </c>
      <c r="F9" s="9"/>
    </row>
    <row r="10" spans="2:6">
      <c r="B10">
        <v>5</v>
      </c>
      <c r="C10" t="s">
        <v>48</v>
      </c>
      <c r="D10" s="7">
        <v>10000</v>
      </c>
      <c r="E10" t="s">
        <v>53</v>
      </c>
      <c r="F10" s="9"/>
    </row>
    <row r="11" spans="2:6">
      <c r="B11">
        <v>6</v>
      </c>
      <c r="C11" t="s">
        <v>49</v>
      </c>
      <c r="D11" s="7">
        <v>15000</v>
      </c>
      <c r="F11" s="9"/>
    </row>
    <row r="12" spans="2:6">
      <c r="B12">
        <v>7</v>
      </c>
      <c r="C12" t="s">
        <v>39</v>
      </c>
      <c r="D12" s="7">
        <v>300</v>
      </c>
      <c r="E12" t="s">
        <v>76</v>
      </c>
      <c r="F12" s="9"/>
    </row>
    <row r="13" spans="2:6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>
      <c r="B14">
        <v>9</v>
      </c>
      <c r="C14" t="s">
        <v>54</v>
      </c>
      <c r="D14" s="7">
        <v>12000</v>
      </c>
      <c r="E14" t="s">
        <v>136</v>
      </c>
      <c r="F14" s="9"/>
    </row>
    <row r="15" spans="2:6">
      <c r="B15">
        <v>10</v>
      </c>
      <c r="C15" t="s">
        <v>55</v>
      </c>
      <c r="D15" s="7">
        <v>3348</v>
      </c>
      <c r="E15" t="s">
        <v>137</v>
      </c>
      <c r="F15" s="9"/>
    </row>
    <row r="16" spans="2:6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>
      <c r="B29">
        <v>24</v>
      </c>
      <c r="C29" t="s">
        <v>80</v>
      </c>
      <c r="D29" s="7">
        <v>49245</v>
      </c>
      <c r="F29" s="9">
        <v>45395</v>
      </c>
    </row>
    <row r="30" spans="2:6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>
      <c r="B32">
        <v>27</v>
      </c>
      <c r="C32" t="s">
        <v>84</v>
      </c>
      <c r="D32" s="7">
        <v>178.75</v>
      </c>
      <c r="F32" s="9">
        <v>45394</v>
      </c>
    </row>
    <row r="33" spans="2:6">
      <c r="B33">
        <v>28</v>
      </c>
      <c r="C33" t="s">
        <v>84</v>
      </c>
      <c r="D33" s="7">
        <v>148</v>
      </c>
      <c r="F33" s="9">
        <v>45394</v>
      </c>
    </row>
    <row r="34" spans="2:6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>
      <c r="B39">
        <v>34</v>
      </c>
      <c r="C39" t="s">
        <v>95</v>
      </c>
      <c r="D39" s="7">
        <v>3600</v>
      </c>
      <c r="F39" s="9">
        <v>45401</v>
      </c>
    </row>
    <row r="40" spans="2:6">
      <c r="B40">
        <v>35</v>
      </c>
      <c r="C40" t="s">
        <v>96</v>
      </c>
      <c r="D40" s="7">
        <v>675</v>
      </c>
      <c r="F40" s="9">
        <v>45402</v>
      </c>
    </row>
    <row r="41" spans="2:6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>
      <c r="B70">
        <v>66</v>
      </c>
      <c r="C70" t="s">
        <v>157</v>
      </c>
      <c r="D70" s="7"/>
      <c r="E70" t="s">
        <v>92</v>
      </c>
      <c r="F70" s="9"/>
    </row>
    <row r="71" spans="2:6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>
      <c r="B150">
        <v>146</v>
      </c>
      <c r="C150" t="s">
        <v>254</v>
      </c>
      <c r="D150" s="7">
        <v>106400</v>
      </c>
      <c r="F150" s="9">
        <v>45573</v>
      </c>
    </row>
    <row r="151" spans="2:6">
      <c r="B151">
        <v>147</v>
      </c>
      <c r="C151" t="s">
        <v>255</v>
      </c>
      <c r="D151" s="7">
        <v>13000</v>
      </c>
      <c r="F151" s="9">
        <v>45573</v>
      </c>
    </row>
    <row r="152" spans="2:6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>
      <c r="B162">
        <v>158</v>
      </c>
      <c r="C162" t="s">
        <v>276</v>
      </c>
      <c r="D162" s="7">
        <v>1098</v>
      </c>
      <c r="F162" s="9">
        <v>45667</v>
      </c>
    </row>
    <row r="163" spans="2:6">
      <c r="B163">
        <v>159</v>
      </c>
      <c r="C163" t="s">
        <v>277</v>
      </c>
      <c r="D163" s="7">
        <v>1075</v>
      </c>
      <c r="F163" s="9">
        <v>45667</v>
      </c>
    </row>
    <row r="164" spans="2:6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>
      <c r="B264">
        <v>260</v>
      </c>
      <c r="C264" s="18" t="s">
        <v>476</v>
      </c>
      <c r="D264" s="7">
        <v>56.15</v>
      </c>
      <c r="F264" s="9">
        <v>45917</v>
      </c>
    </row>
    <row r="265" spans="2:6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>
      <c r="C559" t="s">
        <v>946</v>
      </c>
      <c r="D559" s="7">
        <v>1304.33</v>
      </c>
      <c r="E559" t="s">
        <v>885</v>
      </c>
      <c r="F559" s="9">
        <v>46267</v>
      </c>
    </row>
    <row r="560" spans="2:6">
      <c r="C560" t="s">
        <v>947</v>
      </c>
      <c r="D560" s="7">
        <v>1304.33</v>
      </c>
      <c r="E560" t="s">
        <v>885</v>
      </c>
      <c r="F560" s="9">
        <v>46267</v>
      </c>
    </row>
    <row r="561" spans="3:6">
      <c r="C561" t="s">
        <v>948</v>
      </c>
      <c r="D561" s="7">
        <v>1116.6600000000001</v>
      </c>
      <c r="E561" t="s">
        <v>885</v>
      </c>
      <c r="F561" s="9">
        <v>46267</v>
      </c>
    </row>
    <row r="562" spans="3:6">
      <c r="C562" t="s">
        <v>965</v>
      </c>
      <c r="D562" s="7">
        <v>7290</v>
      </c>
      <c r="E562" t="s">
        <v>964</v>
      </c>
      <c r="F562" s="9">
        <v>46272</v>
      </c>
    </row>
    <row r="563" spans="3:6">
      <c r="C563" t="s">
        <v>966</v>
      </c>
      <c r="D563" s="7">
        <v>11190</v>
      </c>
      <c r="E563" t="s">
        <v>964</v>
      </c>
      <c r="F563" s="9">
        <v>46272</v>
      </c>
    </row>
    <row r="564" spans="3:6">
      <c r="C564" t="s">
        <v>967</v>
      </c>
      <c r="D564" s="7">
        <v>237.65</v>
      </c>
      <c r="E564" t="s">
        <v>964</v>
      </c>
      <c r="F564" s="9">
        <v>46272</v>
      </c>
    </row>
    <row r="565" spans="3:6">
      <c r="C565" t="s">
        <v>968</v>
      </c>
      <c r="D565" s="7">
        <v>785.7</v>
      </c>
      <c r="E565" t="s">
        <v>964</v>
      </c>
      <c r="F565" s="9">
        <v>46272</v>
      </c>
    </row>
    <row r="566" spans="3:6">
      <c r="C566" t="s">
        <v>969</v>
      </c>
      <c r="D566" s="7">
        <v>669.3</v>
      </c>
      <c r="E566" t="s">
        <v>964</v>
      </c>
      <c r="F566" s="9">
        <v>46272</v>
      </c>
    </row>
    <row r="567" spans="3:6">
      <c r="C567" t="s">
        <v>970</v>
      </c>
      <c r="D567" s="7">
        <v>110.58</v>
      </c>
      <c r="E567" t="s">
        <v>964</v>
      </c>
      <c r="F567" s="9">
        <v>46272</v>
      </c>
    </row>
    <row r="568" spans="3:6">
      <c r="C568" t="s">
        <v>971</v>
      </c>
      <c r="D568" s="7">
        <v>2786</v>
      </c>
      <c r="E568" t="s">
        <v>964</v>
      </c>
      <c r="F568" s="9">
        <v>46274</v>
      </c>
    </row>
    <row r="569" spans="3:6">
      <c r="C569" t="s">
        <v>972</v>
      </c>
      <c r="D569" s="7">
        <v>25800</v>
      </c>
      <c r="E569" t="s">
        <v>885</v>
      </c>
      <c r="F569" s="9">
        <v>46274</v>
      </c>
    </row>
    <row r="570" spans="3:6">
      <c r="C570" t="s">
        <v>973</v>
      </c>
      <c r="D570" s="7">
        <v>75</v>
      </c>
      <c r="E570" t="s">
        <v>885</v>
      </c>
      <c r="F570" s="9">
        <v>46274</v>
      </c>
    </row>
    <row r="571" spans="3:6">
      <c r="C571" t="s">
        <v>974</v>
      </c>
      <c r="D571" s="7">
        <v>78</v>
      </c>
      <c r="E571" t="s">
        <v>885</v>
      </c>
      <c r="F571" s="9">
        <v>46274</v>
      </c>
    </row>
    <row r="572" spans="3:6">
      <c r="C572" s="65" t="s">
        <v>975</v>
      </c>
      <c r="D572" s="7">
        <v>280</v>
      </c>
      <c r="E572" t="s">
        <v>372</v>
      </c>
      <c r="F572" s="9">
        <v>46275</v>
      </c>
    </row>
    <row r="573" spans="3:6">
      <c r="C573" t="s">
        <v>976</v>
      </c>
      <c r="D573" s="7">
        <v>160.41999999999999</v>
      </c>
      <c r="E573" t="s">
        <v>885</v>
      </c>
      <c r="F573" s="9">
        <v>46282</v>
      </c>
    </row>
    <row r="574" spans="3:6">
      <c r="C574" t="s">
        <v>977</v>
      </c>
      <c r="D574" s="7">
        <v>594.73</v>
      </c>
      <c r="E574" t="s">
        <v>885</v>
      </c>
      <c r="F574" s="9">
        <v>46282</v>
      </c>
    </row>
    <row r="575" spans="3:6">
      <c r="C575" t="s">
        <v>978</v>
      </c>
      <c r="D575" s="7">
        <v>105.08</v>
      </c>
      <c r="E575" t="s">
        <v>885</v>
      </c>
      <c r="F575" s="9">
        <v>46282</v>
      </c>
    </row>
    <row r="576" spans="3:6">
      <c r="C576" t="s">
        <v>979</v>
      </c>
      <c r="D576" s="7">
        <v>58.14</v>
      </c>
      <c r="E576" t="s">
        <v>885</v>
      </c>
      <c r="F576" s="9">
        <v>46282</v>
      </c>
    </row>
    <row r="577" spans="3:6">
      <c r="C577" t="s">
        <v>980</v>
      </c>
      <c r="D577" s="7">
        <v>139.4</v>
      </c>
      <c r="E577" t="s">
        <v>885</v>
      </c>
      <c r="F577" s="9">
        <v>46282</v>
      </c>
    </row>
    <row r="578" spans="3:6">
      <c r="C578" t="s">
        <v>981</v>
      </c>
      <c r="D578" s="7">
        <v>72.849999999999994</v>
      </c>
      <c r="E578" t="s">
        <v>885</v>
      </c>
      <c r="F578" s="9">
        <v>46282</v>
      </c>
    </row>
    <row r="579" spans="3:6">
      <c r="C579" t="s">
        <v>982</v>
      </c>
      <c r="D579" s="7">
        <v>104.38</v>
      </c>
      <c r="E579" t="s">
        <v>885</v>
      </c>
      <c r="F579" s="9">
        <v>46282</v>
      </c>
    </row>
    <row r="580" spans="3:6">
      <c r="C580" t="s">
        <v>977</v>
      </c>
      <c r="D580" s="7">
        <v>594.49</v>
      </c>
      <c r="E580" t="s">
        <v>885</v>
      </c>
      <c r="F580" s="9">
        <v>46287</v>
      </c>
    </row>
    <row r="581" spans="3:6">
      <c r="C581" t="s">
        <v>983</v>
      </c>
      <c r="D581" s="7">
        <v>664.51</v>
      </c>
      <c r="E581" t="s">
        <v>885</v>
      </c>
      <c r="F581" s="9">
        <v>46287</v>
      </c>
    </row>
    <row r="582" spans="3:6">
      <c r="C582" t="s">
        <v>986</v>
      </c>
      <c r="D582" s="7">
        <v>494</v>
      </c>
      <c r="E582" t="s">
        <v>984</v>
      </c>
      <c r="F582" s="9">
        <v>46287</v>
      </c>
    </row>
    <row r="583" spans="3:6">
      <c r="C583" t="s">
        <v>985</v>
      </c>
      <c r="D583" s="7">
        <v>12764.02</v>
      </c>
      <c r="E583" t="s">
        <v>964</v>
      </c>
      <c r="F583" s="9">
        <v>46287</v>
      </c>
    </row>
    <row r="584" spans="3:6">
      <c r="C584" t="s">
        <v>987</v>
      </c>
      <c r="D584" s="7">
        <v>669.3</v>
      </c>
      <c r="E584" t="s">
        <v>964</v>
      </c>
      <c r="F584" s="9">
        <v>46288</v>
      </c>
    </row>
    <row r="585" spans="3:6">
      <c r="C585" t="s">
        <v>988</v>
      </c>
      <c r="D585" s="7">
        <v>3492</v>
      </c>
      <c r="E585" t="s">
        <v>964</v>
      </c>
      <c r="F585" s="9">
        <v>46288</v>
      </c>
    </row>
    <row r="586" spans="3:6">
      <c r="C586" t="s">
        <v>989</v>
      </c>
      <c r="D586" s="7">
        <v>5995</v>
      </c>
      <c r="E586" t="s">
        <v>964</v>
      </c>
      <c r="F586" s="9">
        <v>46288</v>
      </c>
    </row>
    <row r="587" spans="3:6">
      <c r="C587" t="s">
        <v>990</v>
      </c>
      <c r="D587" s="7">
        <v>136.41999999999999</v>
      </c>
      <c r="E587" t="s">
        <v>885</v>
      </c>
      <c r="F587" s="9">
        <v>46294</v>
      </c>
    </row>
    <row r="588" spans="3:6">
      <c r="C588" t="s">
        <v>991</v>
      </c>
      <c r="D588" s="7">
        <v>54.02</v>
      </c>
      <c r="E588" t="s">
        <v>885</v>
      </c>
      <c r="F588" s="9">
        <v>46294</v>
      </c>
    </row>
    <row r="589" spans="3:6">
      <c r="C589" t="s">
        <v>992</v>
      </c>
      <c r="D589" s="7">
        <v>5392.6</v>
      </c>
      <c r="E589" t="s">
        <v>885</v>
      </c>
      <c r="F589" s="9">
        <v>46294</v>
      </c>
    </row>
    <row r="590" spans="3:6">
      <c r="C590" t="s">
        <v>993</v>
      </c>
      <c r="D590" s="7">
        <v>53.1</v>
      </c>
      <c r="E590" t="s">
        <v>885</v>
      </c>
      <c r="F590" s="9">
        <v>46294</v>
      </c>
    </row>
    <row r="591" spans="3:6">
      <c r="C591" t="s">
        <v>163</v>
      </c>
      <c r="D591" s="7">
        <v>46.86</v>
      </c>
      <c r="E591" t="s">
        <v>885</v>
      </c>
      <c r="F591" s="9">
        <v>46294</v>
      </c>
    </row>
    <row r="592" spans="3:6">
      <c r="C592" t="s">
        <v>994</v>
      </c>
      <c r="D592" s="7">
        <v>452.07</v>
      </c>
      <c r="E592" t="s">
        <v>885</v>
      </c>
      <c r="F592" s="9">
        <v>46296</v>
      </c>
    </row>
    <row r="593" spans="3:6">
      <c r="C593" t="s">
        <v>995</v>
      </c>
      <c r="D593" s="7">
        <v>363.43</v>
      </c>
      <c r="E593" t="s">
        <v>885</v>
      </c>
      <c r="F593" s="9">
        <v>46296</v>
      </c>
    </row>
    <row r="594" spans="3:6">
      <c r="C594" t="s">
        <v>996</v>
      </c>
      <c r="D594" s="7">
        <v>2550.87</v>
      </c>
      <c r="E594" t="s">
        <v>885</v>
      </c>
      <c r="F594" s="9">
        <v>46296</v>
      </c>
    </row>
    <row r="595" spans="3:6">
      <c r="C595" t="s">
        <v>997</v>
      </c>
      <c r="D595" s="7">
        <v>609.65</v>
      </c>
      <c r="E595" t="s">
        <v>885</v>
      </c>
      <c r="F595" s="9">
        <v>46296</v>
      </c>
    </row>
    <row r="596" spans="3:6">
      <c r="C596" t="s">
        <v>998</v>
      </c>
      <c r="D596" s="7">
        <v>10823</v>
      </c>
      <c r="E596" t="s">
        <v>885</v>
      </c>
      <c r="F596" s="9">
        <v>46296</v>
      </c>
    </row>
    <row r="597" spans="3:6">
      <c r="C597" t="s">
        <v>999</v>
      </c>
      <c r="D597" s="7">
        <v>5665</v>
      </c>
      <c r="E597" t="s">
        <v>1000</v>
      </c>
      <c r="F597" s="9">
        <v>46298</v>
      </c>
    </row>
    <row r="598" spans="3:6">
      <c r="C598" t="s">
        <v>1001</v>
      </c>
      <c r="D598" s="7">
        <v>507.98</v>
      </c>
      <c r="E598" t="s">
        <v>885</v>
      </c>
      <c r="F598" s="9">
        <v>46304</v>
      </c>
    </row>
    <row r="599" spans="3:6">
      <c r="C599" t="s">
        <v>1002</v>
      </c>
      <c r="D599" s="7">
        <v>536.25</v>
      </c>
      <c r="E599" t="s">
        <v>885</v>
      </c>
      <c r="F599" s="9">
        <v>46304</v>
      </c>
    </row>
    <row r="600" spans="3:6">
      <c r="C600" t="s">
        <v>1003</v>
      </c>
      <c r="D600" s="7">
        <v>84.82</v>
      </c>
      <c r="E600" t="s">
        <v>885</v>
      </c>
      <c r="F600" s="9">
        <v>46304</v>
      </c>
    </row>
    <row r="601" spans="3:6">
      <c r="C601" t="s">
        <v>1004</v>
      </c>
      <c r="D601" s="7">
        <v>206.4</v>
      </c>
      <c r="E601" t="s">
        <v>885</v>
      </c>
      <c r="F601" s="9">
        <v>46304</v>
      </c>
    </row>
    <row r="602" spans="3:6">
      <c r="C602" t="s">
        <v>1005</v>
      </c>
      <c r="D602" s="7">
        <v>300.64</v>
      </c>
      <c r="E602" t="s">
        <v>885</v>
      </c>
      <c r="F602" s="9">
        <v>46304</v>
      </c>
    </row>
    <row r="603" spans="3:6">
      <c r="C603" t="s">
        <v>1006</v>
      </c>
      <c r="D603" s="7">
        <f>6607.56+1450.35</f>
        <v>8057.91</v>
      </c>
      <c r="E603" t="s">
        <v>885</v>
      </c>
      <c r="F603" s="9">
        <v>46304</v>
      </c>
    </row>
    <row r="604" spans="3:6">
      <c r="C604" t="s">
        <v>1008</v>
      </c>
      <c r="D604" s="7">
        <v>78142</v>
      </c>
      <c r="E604" t="s">
        <v>1007</v>
      </c>
      <c r="F604" s="9">
        <v>46306</v>
      </c>
    </row>
    <row r="605" spans="3:6">
      <c r="D605" s="7">
        <v>1039</v>
      </c>
      <c r="E605" t="s">
        <v>885</v>
      </c>
      <c r="F605" s="9">
        <v>46307</v>
      </c>
    </row>
    <row r="606" spans="3:6">
      <c r="C606" t="s">
        <v>1009</v>
      </c>
      <c r="D606" s="7">
        <v>10000</v>
      </c>
      <c r="E606" t="s">
        <v>1010</v>
      </c>
      <c r="F606" s="9">
        <v>46307</v>
      </c>
    </row>
    <row r="607" spans="3:6">
      <c r="C607" t="s">
        <v>1011</v>
      </c>
      <c r="D607" s="7">
        <v>400</v>
      </c>
      <c r="E607" t="s">
        <v>885</v>
      </c>
      <c r="F607" s="9">
        <v>46308</v>
      </c>
    </row>
    <row r="608" spans="3:6">
      <c r="C608" t="s">
        <v>1012</v>
      </c>
      <c r="D608" s="7">
        <f>5*789</f>
        <v>3945</v>
      </c>
      <c r="E608" t="s">
        <v>885</v>
      </c>
      <c r="F608" s="9">
        <v>46308</v>
      </c>
    </row>
    <row r="609" spans="3:6">
      <c r="C609" t="s">
        <v>1013</v>
      </c>
      <c r="D609" s="7">
        <v>75</v>
      </c>
      <c r="E609" t="s">
        <v>885</v>
      </c>
      <c r="F609" s="9">
        <v>46308</v>
      </c>
    </row>
    <row r="610" spans="3:6">
      <c r="C610" t="s">
        <v>1014</v>
      </c>
      <c r="D610" s="7">
        <v>319</v>
      </c>
      <c r="E610" t="s">
        <v>885</v>
      </c>
      <c r="F610" s="9">
        <v>46308</v>
      </c>
    </row>
    <row r="611" spans="3:6">
      <c r="C611" t="s">
        <v>1015</v>
      </c>
      <c r="D611" s="7">
        <v>44</v>
      </c>
      <c r="E611" t="s">
        <v>885</v>
      </c>
      <c r="F611" s="9">
        <v>46308</v>
      </c>
    </row>
    <row r="612" spans="3:6">
      <c r="C612" t="s">
        <v>1016</v>
      </c>
      <c r="D612" s="7">
        <v>69</v>
      </c>
      <c r="E612" t="s">
        <v>885</v>
      </c>
      <c r="F612" s="9">
        <v>46308</v>
      </c>
    </row>
    <row r="613" spans="3:6">
      <c r="C613" t="s">
        <v>1017</v>
      </c>
      <c r="D613" s="7">
        <v>419</v>
      </c>
      <c r="E613" t="s">
        <v>885</v>
      </c>
      <c r="F613" s="9">
        <v>46308</v>
      </c>
    </row>
    <row r="614" spans="3:6">
      <c r="C614" t="s">
        <v>1018</v>
      </c>
      <c r="D614" s="7">
        <f>2*93</f>
        <v>186</v>
      </c>
      <c r="E614" t="s">
        <v>885</v>
      </c>
      <c r="F614" s="9">
        <v>46308</v>
      </c>
    </row>
    <row r="615" spans="3:6">
      <c r="C615" t="s">
        <v>1019</v>
      </c>
      <c r="D615" s="7">
        <f>161.23*24</f>
        <v>3869.5199999999995</v>
      </c>
      <c r="E615" t="s">
        <v>885</v>
      </c>
      <c r="F615" s="9">
        <v>46311</v>
      </c>
    </row>
    <row r="616" spans="3:6">
      <c r="C616" t="s">
        <v>1020</v>
      </c>
      <c r="D616" s="7">
        <v>205.54</v>
      </c>
      <c r="E616" t="s">
        <v>885</v>
      </c>
      <c r="F616" s="9">
        <v>46311</v>
      </c>
    </row>
    <row r="617" spans="3:6">
      <c r="D617" s="7"/>
      <c r="F617" s="9"/>
    </row>
    <row r="618" spans="3:6">
      <c r="D618" s="7"/>
      <c r="F618" s="9"/>
    </row>
    <row r="619" spans="3:6">
      <c r="D619" s="7"/>
      <c r="F619" s="9"/>
    </row>
    <row r="620" spans="3:6">
      <c r="D620" s="7"/>
      <c r="F620" s="9"/>
    </row>
    <row r="621" spans="3:6">
      <c r="D621" s="7"/>
      <c r="F621" s="9"/>
    </row>
    <row r="622" spans="3:6">
      <c r="D622" s="7"/>
      <c r="F622" s="9"/>
    </row>
    <row r="623" spans="3:6">
      <c r="D623" s="7"/>
      <c r="F623" s="9"/>
    </row>
    <row r="624" spans="3:6">
      <c r="D624" s="7"/>
      <c r="F624" s="9"/>
    </row>
    <row r="625" spans="4:6">
      <c r="D625" s="7"/>
      <c r="F625" s="9"/>
    </row>
    <row r="626" spans="4:6">
      <c r="D626" s="7"/>
      <c r="F626" s="9"/>
    </row>
    <row r="627" spans="4:6">
      <c r="D627" s="7"/>
      <c r="F627" s="9"/>
    </row>
    <row r="628" spans="4:6">
      <c r="D628" s="7"/>
      <c r="F628" s="9"/>
    </row>
    <row r="629" spans="4:6">
      <c r="D629" s="7">
        <f>SUBTOTAL(109,Таблица4[Цена (руб)])</f>
        <v>6572274.620000001</v>
      </c>
      <c r="F629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1"/>
  <sheetViews>
    <sheetView workbookViewId="0">
      <selection activeCell="J20" sqref="J20"/>
    </sheetView>
  </sheetViews>
  <sheetFormatPr defaultRowHeight="1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  <col min="10" max="10" width="64.5703125" customWidth="1"/>
    <col min="11" max="11" width="14.85546875" customWidth="1"/>
    <col min="12" max="12" width="12" bestFit="1" customWidth="1"/>
  </cols>
  <sheetData>
    <row r="2" spans="2:12">
      <c r="J2" t="s">
        <v>173</v>
      </c>
    </row>
    <row r="3" spans="2:12">
      <c r="B3" t="s">
        <v>343</v>
      </c>
      <c r="C3" t="s">
        <v>899</v>
      </c>
      <c r="D3" t="s">
        <v>903</v>
      </c>
      <c r="E3" t="s">
        <v>1</v>
      </c>
      <c r="I3" t="s">
        <v>949</v>
      </c>
      <c r="J3" t="s">
        <v>951</v>
      </c>
      <c r="K3" t="s">
        <v>703</v>
      </c>
      <c r="L3" t="s">
        <v>950</v>
      </c>
    </row>
    <row r="4" spans="2:12">
      <c r="B4" t="s">
        <v>902</v>
      </c>
      <c r="C4">
        <v>1160.52</v>
      </c>
      <c r="D4">
        <f t="shared" ref="D4:D12" si="0">C4*2</f>
        <v>2321.04</v>
      </c>
      <c r="I4">
        <v>1</v>
      </c>
      <c r="J4" s="61" t="s">
        <v>952</v>
      </c>
      <c r="K4" t="s">
        <v>953</v>
      </c>
      <c r="L4" s="62">
        <v>25800</v>
      </c>
    </row>
    <row r="5" spans="2:12">
      <c r="B5" t="s">
        <v>904</v>
      </c>
      <c r="C5">
        <v>680</v>
      </c>
      <c r="D5">
        <f t="shared" si="0"/>
        <v>1360</v>
      </c>
      <c r="I5">
        <v>2</v>
      </c>
      <c r="J5" s="61" t="s">
        <v>954</v>
      </c>
      <c r="K5" t="s">
        <v>955</v>
      </c>
      <c r="L5" s="62">
        <v>9490</v>
      </c>
    </row>
    <row r="6" spans="2:12">
      <c r="B6" t="s">
        <v>905</v>
      </c>
      <c r="C6">
        <v>1187.5</v>
      </c>
      <c r="D6">
        <f t="shared" si="0"/>
        <v>2375</v>
      </c>
      <c r="I6">
        <v>3</v>
      </c>
      <c r="J6" s="61" t="s">
        <v>956</v>
      </c>
      <c r="K6" t="s">
        <v>955</v>
      </c>
      <c r="L6" s="62">
        <v>13990</v>
      </c>
    </row>
    <row r="7" spans="2:12">
      <c r="B7" t="s">
        <v>906</v>
      </c>
      <c r="C7">
        <v>721.65</v>
      </c>
      <c r="D7">
        <f t="shared" si="0"/>
        <v>1443.3</v>
      </c>
      <c r="I7" t="s">
        <v>957</v>
      </c>
      <c r="L7" s="62">
        <f>SUM(L4:L6)</f>
        <v>49280</v>
      </c>
    </row>
    <row r="8" spans="2:12">
      <c r="B8" t="s">
        <v>907</v>
      </c>
      <c r="C8">
        <v>383.66</v>
      </c>
      <c r="D8">
        <f t="shared" si="0"/>
        <v>767.32</v>
      </c>
      <c r="L8" s="62"/>
    </row>
    <row r="9" spans="2:12">
      <c r="B9" t="s">
        <v>908</v>
      </c>
      <c r="C9">
        <v>1368.97</v>
      </c>
      <c r="D9">
        <f t="shared" si="0"/>
        <v>2737.94</v>
      </c>
      <c r="J9" t="s">
        <v>608</v>
      </c>
    </row>
    <row r="10" spans="2:12">
      <c r="B10" t="s">
        <v>909</v>
      </c>
      <c r="C10">
        <v>1311.86</v>
      </c>
      <c r="D10">
        <f t="shared" si="0"/>
        <v>2623.72</v>
      </c>
      <c r="I10" t="s">
        <v>949</v>
      </c>
      <c r="J10" t="s">
        <v>951</v>
      </c>
      <c r="K10" t="s">
        <v>703</v>
      </c>
      <c r="L10" t="s">
        <v>950</v>
      </c>
    </row>
    <row r="11" spans="2:12">
      <c r="B11" t="s">
        <v>910</v>
      </c>
      <c r="C11">
        <v>1116.8699999999999</v>
      </c>
      <c r="D11">
        <f t="shared" si="0"/>
        <v>2233.7399999999998</v>
      </c>
      <c r="I11">
        <v>1</v>
      </c>
      <c r="J11" s="63" t="s">
        <v>959</v>
      </c>
      <c r="K11" t="s">
        <v>955</v>
      </c>
      <c r="L11" s="62">
        <v>7290</v>
      </c>
    </row>
    <row r="12" spans="2:12">
      <c r="B12" t="s">
        <v>911</v>
      </c>
      <c r="C12">
        <v>1477.63</v>
      </c>
      <c r="D12">
        <f t="shared" si="0"/>
        <v>2955.26</v>
      </c>
      <c r="J12" s="63" t="s">
        <v>958</v>
      </c>
      <c r="K12" t="s">
        <v>955</v>
      </c>
      <c r="L12" s="62">
        <v>7590</v>
      </c>
    </row>
    <row r="13" spans="2:12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  <c r="J13" s="63" t="s">
        <v>960</v>
      </c>
      <c r="K13" t="s">
        <v>955</v>
      </c>
      <c r="L13" s="62">
        <v>11190</v>
      </c>
    </row>
    <row r="14" spans="2:12" ht="25.5">
      <c r="J14" s="63" t="s">
        <v>961</v>
      </c>
      <c r="K14" t="s">
        <v>955</v>
      </c>
      <c r="L14" s="62">
        <v>11590</v>
      </c>
    </row>
    <row r="15" spans="2:12">
      <c r="L15" s="62"/>
    </row>
    <row r="16" spans="2:12">
      <c r="J16" t="s">
        <v>497</v>
      </c>
      <c r="L16" s="62"/>
    </row>
    <row r="17" spans="9:12">
      <c r="I17" t="s">
        <v>949</v>
      </c>
      <c r="J17" t="s">
        <v>951</v>
      </c>
      <c r="K17" t="s">
        <v>703</v>
      </c>
      <c r="L17" s="62" t="s">
        <v>950</v>
      </c>
    </row>
    <row r="18" spans="9:12">
      <c r="J18" s="64" t="s">
        <v>962</v>
      </c>
      <c r="K18" t="s">
        <v>955</v>
      </c>
      <c r="L18" s="62">
        <v>11248</v>
      </c>
    </row>
    <row r="19" spans="9:12">
      <c r="J19" s="64" t="s">
        <v>963</v>
      </c>
      <c r="K19" t="s">
        <v>955</v>
      </c>
      <c r="L19" s="62">
        <v>7626</v>
      </c>
    </row>
    <row r="20" spans="9:12">
      <c r="L20" s="62"/>
    </row>
    <row r="21" spans="9:12">
      <c r="L21" s="62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>
      <c r="K9" t="s">
        <v>872</v>
      </c>
      <c r="L9" t="s">
        <v>868</v>
      </c>
      <c r="M9" t="s">
        <v>863</v>
      </c>
    </row>
    <row r="10" spans="2:13">
      <c r="K10">
        <v>1.51</v>
      </c>
      <c r="L10">
        <v>0.9</v>
      </c>
      <c r="M10">
        <f>K10*L10</f>
        <v>1.359</v>
      </c>
    </row>
    <row r="12" spans="2:13">
      <c r="K12" t="s">
        <v>873</v>
      </c>
      <c r="L12" t="s">
        <v>864</v>
      </c>
      <c r="M12" t="s">
        <v>863</v>
      </c>
    </row>
    <row r="13" spans="2:13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/>
  <cols>
    <col min="2" max="2" width="18.7109375" customWidth="1"/>
  </cols>
  <sheetData>
    <row r="3" spans="2:4">
      <c r="B3" t="s">
        <v>343</v>
      </c>
      <c r="C3" s="23" t="s">
        <v>448</v>
      </c>
    </row>
    <row r="4" spans="2:4">
      <c r="B4" t="s">
        <v>445</v>
      </c>
      <c r="C4">
        <v>0.47</v>
      </c>
    </row>
    <row r="5" spans="2:4">
      <c r="B5" t="s">
        <v>446</v>
      </c>
      <c r="C5">
        <v>0.12</v>
      </c>
    </row>
    <row r="6" spans="2:4">
      <c r="B6" t="s">
        <v>447</v>
      </c>
      <c r="C6">
        <v>0.54</v>
      </c>
    </row>
    <row r="7" spans="2:4">
      <c r="B7" t="s">
        <v>449</v>
      </c>
      <c r="C7">
        <v>0.13</v>
      </c>
    </row>
    <row r="8" spans="2:4">
      <c r="B8" t="s">
        <v>450</v>
      </c>
      <c r="C8">
        <v>0.45</v>
      </c>
    </row>
    <row r="9" spans="2:4">
      <c r="B9" t="s">
        <v>451</v>
      </c>
      <c r="C9">
        <v>0.26</v>
      </c>
    </row>
    <row r="10" spans="2:4">
      <c r="B10" t="s">
        <v>452</v>
      </c>
      <c r="C10">
        <v>0.56999999999999995</v>
      </c>
    </row>
    <row r="11" spans="2:4">
      <c r="B11" t="s">
        <v>453</v>
      </c>
      <c r="C11">
        <v>0.45</v>
      </c>
    </row>
    <row r="12" spans="2:4">
      <c r="B12" t="s">
        <v>454</v>
      </c>
      <c r="C12">
        <v>0.3</v>
      </c>
    </row>
    <row r="13" spans="2:4">
      <c r="B13" t="s">
        <v>455</v>
      </c>
      <c r="C13">
        <v>7.0000000000000007E-2</v>
      </c>
    </row>
    <row r="14" spans="2:4">
      <c r="B14" t="s">
        <v>456</v>
      </c>
      <c r="C14">
        <v>0.27</v>
      </c>
    </row>
    <row r="15" spans="2:4">
      <c r="B15" t="s">
        <v>457</v>
      </c>
      <c r="C15">
        <v>0.51</v>
      </c>
    </row>
    <row r="16" spans="2:4">
      <c r="B16" s="35" t="s">
        <v>18</v>
      </c>
      <c r="C16" s="35">
        <f>SUM(C4:C15)</f>
        <v>4.1399999999999997</v>
      </c>
      <c r="D16" s="21" t="s">
        <v>448</v>
      </c>
    </row>
    <row r="18" spans="3:3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/>
  <cols>
    <col min="3" max="3" width="21.28515625" customWidth="1"/>
    <col min="4" max="4" width="18.85546875" customWidth="1"/>
    <col min="9" max="9" width="16" customWidth="1"/>
  </cols>
  <sheetData>
    <row r="3" spans="3:12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>
      <c r="G4">
        <v>12</v>
      </c>
    </row>
    <row r="5" spans="3:12">
      <c r="G5">
        <v>12</v>
      </c>
    </row>
    <row r="6" spans="3:12">
      <c r="G6">
        <v>9</v>
      </c>
    </row>
    <row r="7" spans="3:12">
      <c r="G7">
        <v>3</v>
      </c>
    </row>
    <row r="8" spans="3:12">
      <c r="G8">
        <v>4</v>
      </c>
    </row>
    <row r="9" spans="3:12">
      <c r="G9">
        <v>3</v>
      </c>
    </row>
    <row r="10" spans="3:12">
      <c r="F10" t="s">
        <v>461</v>
      </c>
      <c r="G10">
        <f>SUM(G3:G9)</f>
        <v>54</v>
      </c>
    </row>
    <row r="14" spans="3:12">
      <c r="G14">
        <v>55</v>
      </c>
      <c r="H14">
        <f>G14*K3</f>
        <v>6.6</v>
      </c>
      <c r="I14" t="s">
        <v>448</v>
      </c>
    </row>
    <row r="15" spans="3:12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>
      <c r="B3" s="2" t="s">
        <v>23</v>
      </c>
    </row>
    <row r="4" spans="1:6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>
      <c r="D26" s="3"/>
      <c r="E26" s="3">
        <f>Таблица2[[#This Row],[Цена  (м3 или штук)]]*Таблица2[[#This Row],[Количество (М3/шт)]]</f>
        <v>0</v>
      </c>
    </row>
    <row r="27" spans="1:6">
      <c r="D27" s="3"/>
      <c r="E27" s="3">
        <f>Таблица2[[#This Row],[Цена  (м3 или штук)]]*Таблица2[[#This Row],[Количество (М3/шт)]]</f>
        <v>0</v>
      </c>
    </row>
    <row r="28" spans="1:6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>
      <c r="B1" s="35" t="s">
        <v>358</v>
      </c>
    </row>
    <row r="2" spans="2:4">
      <c r="B2" t="s">
        <v>343</v>
      </c>
      <c r="C2" t="s">
        <v>350</v>
      </c>
      <c r="D2" t="s">
        <v>351</v>
      </c>
    </row>
    <row r="3" spans="2:4">
      <c r="B3" t="s">
        <v>352</v>
      </c>
      <c r="C3">
        <v>138</v>
      </c>
      <c r="D3">
        <v>194</v>
      </c>
    </row>
    <row r="4" spans="2:4">
      <c r="B4" t="s">
        <v>355</v>
      </c>
      <c r="C4">
        <v>133</v>
      </c>
      <c r="D4">
        <v>226</v>
      </c>
    </row>
    <row r="5" spans="2:4">
      <c r="B5" t="s">
        <v>356</v>
      </c>
      <c r="C5">
        <v>65</v>
      </c>
      <c r="D5">
        <v>92</v>
      </c>
    </row>
    <row r="6" spans="2:4">
      <c r="B6" t="s">
        <v>353</v>
      </c>
      <c r="C6">
        <v>132</v>
      </c>
    </row>
    <row r="7" spans="2:4">
      <c r="B7" t="s">
        <v>354</v>
      </c>
      <c r="C7">
        <v>60</v>
      </c>
    </row>
    <row r="8" spans="2:4">
      <c r="B8" s="11" t="s">
        <v>357</v>
      </c>
      <c r="C8" s="11">
        <f>SUM(C3:C7)</f>
        <v>528</v>
      </c>
      <c r="D8" s="11">
        <f>SUM(D3:D5)</f>
        <v>512</v>
      </c>
    </row>
    <row r="9" spans="2:4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>
      <c r="A1" s="11" t="s">
        <v>309</v>
      </c>
      <c r="C1" s="11"/>
      <c r="E1" s="11" t="s">
        <v>310</v>
      </c>
    </row>
    <row r="2" spans="1:7">
      <c r="B2" s="11" t="s">
        <v>266</v>
      </c>
      <c r="F2" s="11" t="s">
        <v>266</v>
      </c>
    </row>
    <row r="3" spans="1:7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>
      <c r="A9" t="s">
        <v>308</v>
      </c>
      <c r="B9" s="23">
        <v>300</v>
      </c>
      <c r="E9" t="s">
        <v>316</v>
      </c>
      <c r="F9" s="23">
        <v>375</v>
      </c>
    </row>
    <row r="10" spans="1:7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>
      <c r="F11" s="23"/>
    </row>
    <row r="12" spans="1:7">
      <c r="C12" s="6" t="s">
        <v>326</v>
      </c>
      <c r="F12" s="23"/>
      <c r="G12" s="11" t="s">
        <v>336</v>
      </c>
    </row>
    <row r="13" spans="1:7">
      <c r="F13" s="23"/>
    </row>
    <row r="14" spans="1:7">
      <c r="B14" s="11" t="s">
        <v>327</v>
      </c>
      <c r="F14" s="11" t="s">
        <v>327</v>
      </c>
    </row>
    <row r="15" spans="1:7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>
      <c r="A18" s="25" t="s">
        <v>329</v>
      </c>
      <c r="B18" s="23">
        <v>1700</v>
      </c>
      <c r="E18" s="25" t="s">
        <v>333</v>
      </c>
      <c r="F18" s="23">
        <v>1700</v>
      </c>
    </row>
    <row r="19" spans="1:6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>
      <c r="C1" s="32" t="s">
        <v>340</v>
      </c>
    </row>
    <row r="2" spans="1:11">
      <c r="B2" s="11" t="s">
        <v>280</v>
      </c>
      <c r="G2" s="11" t="s">
        <v>281</v>
      </c>
    </row>
    <row r="3" spans="1:11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>
      <c r="H10" s="24"/>
      <c r="K10" s="23"/>
    </row>
    <row r="11" spans="1:11">
      <c r="F11" s="23"/>
      <c r="K11" s="23"/>
    </row>
    <row r="12" spans="1:11">
      <c r="F12" s="23"/>
      <c r="K12" s="23"/>
    </row>
    <row r="13" spans="1:11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>
      <c r="F14" s="23"/>
      <c r="K14" s="23"/>
    </row>
    <row r="15" spans="1:11">
      <c r="F15" s="30"/>
      <c r="K15" s="23"/>
    </row>
    <row r="16" spans="1:11">
      <c r="F16" s="23"/>
    </row>
    <row r="17" spans="2:12">
      <c r="F17" s="23"/>
    </row>
    <row r="18" spans="2:12">
      <c r="F18" s="23"/>
    </row>
    <row r="19" spans="2:12">
      <c r="F19" s="23"/>
      <c r="K19" s="33"/>
      <c r="L19" s="34"/>
    </row>
    <row r="20" spans="2:12">
      <c r="F20" s="23"/>
      <c r="K20" s="22"/>
    </row>
    <row r="21" spans="2:12">
      <c r="F21" s="23"/>
    </row>
    <row r="22" spans="2:12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25" workbookViewId="0">
      <selection activeCell="D66" sqref="D66"/>
    </sheetView>
  </sheetViews>
  <sheetFormatPr defaultRowHeight="1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>
      <c r="B3" s="8" t="s">
        <v>574</v>
      </c>
    </row>
    <row r="4" spans="2:4">
      <c r="B4" t="s">
        <v>538</v>
      </c>
      <c r="C4" t="s">
        <v>573</v>
      </c>
      <c r="D4" t="s">
        <v>1</v>
      </c>
    </row>
    <row r="5" spans="2:4">
      <c r="B5" t="s">
        <v>539</v>
      </c>
      <c r="C5" s="23">
        <v>1</v>
      </c>
      <c r="D5" t="s">
        <v>797</v>
      </c>
    </row>
    <row r="6" spans="2:4">
      <c r="B6" t="s">
        <v>541</v>
      </c>
      <c r="C6" s="23">
        <v>1</v>
      </c>
    </row>
    <row r="7" spans="2:4">
      <c r="B7" t="s">
        <v>540</v>
      </c>
      <c r="C7" s="23">
        <v>1</v>
      </c>
    </row>
    <row r="8" spans="2:4">
      <c r="B8" t="s">
        <v>542</v>
      </c>
      <c r="C8" s="23">
        <v>1</v>
      </c>
    </row>
    <row r="9" spans="2:4">
      <c r="B9" t="s">
        <v>545</v>
      </c>
      <c r="C9" s="23">
        <v>2</v>
      </c>
    </row>
    <row r="10" spans="2:4">
      <c r="B10" t="s">
        <v>543</v>
      </c>
      <c r="C10" s="23">
        <v>2</v>
      </c>
    </row>
    <row r="11" spans="2:4">
      <c r="B11" t="s">
        <v>544</v>
      </c>
      <c r="C11" s="23">
        <v>1</v>
      </c>
    </row>
    <row r="12" spans="2:4">
      <c r="B12" t="s">
        <v>551</v>
      </c>
      <c r="C12" s="23">
        <v>3</v>
      </c>
    </row>
    <row r="13" spans="2:4">
      <c r="B13" t="s">
        <v>546</v>
      </c>
      <c r="C13" s="23">
        <v>1</v>
      </c>
    </row>
    <row r="14" spans="2:4">
      <c r="B14" t="s">
        <v>549</v>
      </c>
      <c r="C14" s="23">
        <v>3</v>
      </c>
    </row>
    <row r="15" spans="2:4">
      <c r="B15" t="s">
        <v>550</v>
      </c>
      <c r="C15" s="23">
        <f>SUM(C5:C14)</f>
        <v>16</v>
      </c>
    </row>
    <row r="18" spans="2:4" ht="18.75">
      <c r="B18" s="8" t="s">
        <v>575</v>
      </c>
    </row>
    <row r="19" spans="2:4">
      <c r="B19" t="s">
        <v>538</v>
      </c>
      <c r="C19" t="s">
        <v>548</v>
      </c>
      <c r="D19" t="s">
        <v>1</v>
      </c>
    </row>
    <row r="20" spans="2:4">
      <c r="B20" t="s">
        <v>553</v>
      </c>
      <c r="C20" s="23">
        <v>4</v>
      </c>
      <c r="D20" t="s">
        <v>547</v>
      </c>
    </row>
    <row r="21" spans="2:4">
      <c r="B21" t="s">
        <v>551</v>
      </c>
      <c r="C21" s="23">
        <v>3</v>
      </c>
    </row>
    <row r="22" spans="2:4">
      <c r="B22" t="s">
        <v>552</v>
      </c>
      <c r="C22" s="23">
        <v>2</v>
      </c>
    </row>
    <row r="23" spans="2:4">
      <c r="B23" t="s">
        <v>550</v>
      </c>
      <c r="C23" s="23">
        <f>SUM(C20:C22)</f>
        <v>9</v>
      </c>
    </row>
    <row r="24" spans="2:4">
      <c r="C24" s="23"/>
    </row>
    <row r="25" spans="2:4">
      <c r="C25" s="23"/>
    </row>
    <row r="26" spans="2:4">
      <c r="C26" s="23"/>
    </row>
    <row r="27" spans="2:4" ht="18.75">
      <c r="B27" s="8" t="s">
        <v>576</v>
      </c>
      <c r="C27" s="23"/>
    </row>
    <row r="28" spans="2:4">
      <c r="B28" t="s">
        <v>538</v>
      </c>
      <c r="C28" t="s">
        <v>548</v>
      </c>
      <c r="D28" t="s">
        <v>1</v>
      </c>
    </row>
    <row r="29" spans="2:4">
      <c r="B29" t="s">
        <v>553</v>
      </c>
      <c r="C29" s="23">
        <v>4</v>
      </c>
      <c r="D29" t="s">
        <v>547</v>
      </c>
    </row>
    <row r="30" spans="2:4">
      <c r="B30" t="s">
        <v>551</v>
      </c>
      <c r="C30" s="23">
        <v>3</v>
      </c>
    </row>
    <row r="31" spans="2:4">
      <c r="B31" t="s">
        <v>552</v>
      </c>
      <c r="C31" s="23">
        <v>2</v>
      </c>
    </row>
    <row r="32" spans="2:4">
      <c r="B32" t="s">
        <v>550</v>
      </c>
      <c r="C32" s="23">
        <f>SUM(C29:C31)</f>
        <v>9</v>
      </c>
    </row>
    <row r="35" spans="2:4" ht="18.75">
      <c r="B35" s="8" t="s">
        <v>577</v>
      </c>
      <c r="C35" s="23"/>
    </row>
    <row r="36" spans="2:4">
      <c r="B36" t="s">
        <v>538</v>
      </c>
      <c r="C36" t="s">
        <v>548</v>
      </c>
      <c r="D36" t="s">
        <v>1</v>
      </c>
    </row>
    <row r="37" spans="2:4">
      <c r="B37" t="s">
        <v>553</v>
      </c>
      <c r="C37" s="23">
        <v>4</v>
      </c>
      <c r="D37" t="s">
        <v>547</v>
      </c>
    </row>
    <row r="38" spans="2:4">
      <c r="B38" t="s">
        <v>551</v>
      </c>
      <c r="C38" s="23">
        <v>3</v>
      </c>
    </row>
    <row r="39" spans="2:4">
      <c r="B39" t="s">
        <v>552</v>
      </c>
      <c r="C39" s="23">
        <v>2</v>
      </c>
    </row>
    <row r="40" spans="2:4">
      <c r="B40" t="s">
        <v>550</v>
      </c>
      <c r="C40" s="23">
        <f>SUM(C37:C39)</f>
        <v>9</v>
      </c>
    </row>
    <row r="43" spans="2:4" ht="18.75">
      <c r="B43" s="8" t="s">
        <v>578</v>
      </c>
      <c r="C43" s="23"/>
    </row>
    <row r="44" spans="2:4">
      <c r="B44" t="s">
        <v>538</v>
      </c>
      <c r="C44" t="s">
        <v>548</v>
      </c>
      <c r="D44" t="s">
        <v>1</v>
      </c>
    </row>
    <row r="45" spans="2:4">
      <c r="B45" t="s">
        <v>555</v>
      </c>
      <c r="C45" s="23">
        <v>2</v>
      </c>
      <c r="D45" t="s">
        <v>557</v>
      </c>
    </row>
    <row r="46" spans="2:4">
      <c r="B46" t="s">
        <v>554</v>
      </c>
      <c r="C46" s="23">
        <v>1</v>
      </c>
      <c r="D46" t="s">
        <v>558</v>
      </c>
    </row>
    <row r="47" spans="2:4">
      <c r="B47" t="s">
        <v>556</v>
      </c>
      <c r="C47" s="23">
        <v>2</v>
      </c>
      <c r="D47" t="s">
        <v>558</v>
      </c>
    </row>
    <row r="48" spans="2:4">
      <c r="B48" t="s">
        <v>550</v>
      </c>
      <c r="C48" s="23">
        <f>SUM(C45:C47)</f>
        <v>5</v>
      </c>
    </row>
    <row r="51" spans="2:4" ht="18.75">
      <c r="B51" s="8" t="s">
        <v>579</v>
      </c>
      <c r="C51" s="23"/>
    </row>
    <row r="52" spans="2:4">
      <c r="B52" t="s">
        <v>538</v>
      </c>
      <c r="C52" t="s">
        <v>548</v>
      </c>
      <c r="D52" t="s">
        <v>1</v>
      </c>
    </row>
    <row r="53" spans="2:4">
      <c r="B53" t="s">
        <v>559</v>
      </c>
      <c r="C53" s="23">
        <v>1</v>
      </c>
      <c r="D53" t="s">
        <v>557</v>
      </c>
    </row>
    <row r="54" spans="2:4">
      <c r="B54" t="s">
        <v>560</v>
      </c>
      <c r="C54" s="23">
        <v>1</v>
      </c>
      <c r="D54" t="s">
        <v>558</v>
      </c>
    </row>
    <row r="55" spans="2:4">
      <c r="B55" t="s">
        <v>550</v>
      </c>
      <c r="C55" s="23">
        <f>SUM(C53:C54)</f>
        <v>2</v>
      </c>
    </row>
    <row r="56" spans="2:4">
      <c r="C56" s="23"/>
    </row>
    <row r="58" spans="2:4" ht="18.75">
      <c r="B58" s="8" t="s">
        <v>580</v>
      </c>
      <c r="C58" s="23"/>
    </row>
    <row r="59" spans="2:4">
      <c r="B59" t="s">
        <v>538</v>
      </c>
      <c r="C59" t="s">
        <v>548</v>
      </c>
      <c r="D59" t="s">
        <v>1</v>
      </c>
    </row>
    <row r="60" spans="2:4">
      <c r="B60" t="s">
        <v>561</v>
      </c>
      <c r="C60" s="23">
        <v>2</v>
      </c>
      <c r="D60" t="s">
        <v>547</v>
      </c>
    </row>
    <row r="61" spans="2:4">
      <c r="B61" t="s">
        <v>562</v>
      </c>
      <c r="C61" s="23">
        <v>2</v>
      </c>
    </row>
    <row r="62" spans="2:4">
      <c r="B62" t="s">
        <v>563</v>
      </c>
      <c r="C62" s="23">
        <v>1</v>
      </c>
    </row>
    <row r="63" spans="2:4">
      <c r="B63" t="s">
        <v>564</v>
      </c>
      <c r="C63" s="23">
        <v>1</v>
      </c>
      <c r="D63" t="s">
        <v>566</v>
      </c>
    </row>
    <row r="64" spans="2:4">
      <c r="B64" t="s">
        <v>565</v>
      </c>
      <c r="C64" s="23">
        <v>1</v>
      </c>
      <c r="D64" t="s">
        <v>567</v>
      </c>
    </row>
    <row r="65" spans="2:4">
      <c r="B65" t="s">
        <v>568</v>
      </c>
      <c r="C65" s="23"/>
      <c r="D65" t="s">
        <v>569</v>
      </c>
    </row>
    <row r="66" spans="2:4">
      <c r="C66" s="23"/>
      <c r="D66" t="s">
        <v>572</v>
      </c>
    </row>
    <row r="67" spans="2:4">
      <c r="C67" s="23"/>
    </row>
    <row r="68" spans="2:4" ht="18.75">
      <c r="B68" s="8" t="s">
        <v>581</v>
      </c>
      <c r="C68" s="23"/>
    </row>
    <row r="69" spans="2:4">
      <c r="B69" t="s">
        <v>538</v>
      </c>
      <c r="C69" t="s">
        <v>548</v>
      </c>
      <c r="D69" t="s">
        <v>1</v>
      </c>
    </row>
    <row r="70" spans="2:4">
      <c r="B70" t="s">
        <v>570</v>
      </c>
      <c r="C70" s="23">
        <v>1</v>
      </c>
      <c r="D70" t="s">
        <v>547</v>
      </c>
    </row>
    <row r="71" spans="2:4">
      <c r="B71" t="s">
        <v>571</v>
      </c>
      <c r="C71" s="23">
        <v>1</v>
      </c>
    </row>
    <row r="72" spans="2:4">
      <c r="B72" t="s">
        <v>550</v>
      </c>
      <c r="C72" s="23">
        <f>SUM(C70:C71)</f>
        <v>2</v>
      </c>
    </row>
    <row r="75" spans="2:4">
      <c r="B75" t="s">
        <v>582</v>
      </c>
    </row>
    <row r="76" spans="2:4">
      <c r="B76" t="s">
        <v>583</v>
      </c>
    </row>
    <row r="77" spans="2:4">
      <c r="B77" t="s">
        <v>584</v>
      </c>
    </row>
    <row r="78" spans="2:4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>
      <c r="B3" s="11" t="s">
        <v>173</v>
      </c>
      <c r="E3" s="11" t="s">
        <v>586</v>
      </c>
    </row>
    <row r="4" spans="2:12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>
      <c r="C14" s="7"/>
      <c r="D14" s="7"/>
      <c r="F14" s="7"/>
      <c r="G14" s="7"/>
      <c r="H14" s="7"/>
      <c r="I14" s="7"/>
      <c r="J14" s="7"/>
      <c r="K14" s="7"/>
      <c r="L14" s="7"/>
    </row>
    <row r="15" spans="2:12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>
      <c r="B21" s="11"/>
      <c r="E21" s="11" t="s">
        <v>608</v>
      </c>
    </row>
    <row r="22" spans="2:12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>
      <c r="C32" s="7"/>
      <c r="F32" s="7"/>
      <c r="G32" s="7"/>
      <c r="H32" s="7"/>
      <c r="I32" s="7"/>
      <c r="J32" s="7"/>
      <c r="K32" s="7"/>
      <c r="L32" s="7"/>
    </row>
    <row r="33" spans="3:12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workbookViewId="0">
      <selection activeCell="H12" sqref="H12"/>
    </sheetView>
  </sheetViews>
  <sheetFormatPr defaultRowHeight="15"/>
  <cols>
    <col min="2" max="2" width="69.140625" customWidth="1"/>
    <col min="6" max="6" width="72.85546875" customWidth="1"/>
  </cols>
  <sheetData>
    <row r="3" spans="2:6" ht="98.25" customHeight="1">
      <c r="B3" s="43" t="s">
        <v>623</v>
      </c>
      <c r="F3" s="43" t="s">
        <v>639</v>
      </c>
    </row>
    <row r="4" spans="2:6">
      <c r="B4" s="44"/>
      <c r="F4" s="49" t="s">
        <v>640</v>
      </c>
    </row>
    <row r="5" spans="2:6" ht="129.75" customHeight="1">
      <c r="B5" s="43" t="s">
        <v>624</v>
      </c>
      <c r="F5" s="50" t="s">
        <v>641</v>
      </c>
    </row>
    <row r="6" spans="2:6" ht="15.75">
      <c r="B6" s="44"/>
      <c r="F6" s="46" t="s">
        <v>642</v>
      </c>
    </row>
    <row r="7" spans="2:6" ht="44.25" customHeight="1">
      <c r="B7" s="45" t="s">
        <v>625</v>
      </c>
      <c r="F7" s="46" t="s">
        <v>643</v>
      </c>
    </row>
    <row r="8" spans="2:6" ht="122.25" customHeight="1">
      <c r="B8" s="43" t="s">
        <v>626</v>
      </c>
      <c r="F8" s="46" t="s">
        <v>644</v>
      </c>
    </row>
    <row r="9" spans="2:6">
      <c r="B9" s="44" t="s">
        <v>627</v>
      </c>
      <c r="F9" s="51" t="s">
        <v>645</v>
      </c>
    </row>
    <row r="10" spans="2:6" ht="41.25" customHeight="1">
      <c r="B10" s="46" t="s">
        <v>628</v>
      </c>
      <c r="F10" s="43" t="s">
        <v>646</v>
      </c>
    </row>
    <row r="11" spans="2:6" ht="50.25" customHeight="1">
      <c r="B11" s="46" t="s">
        <v>629</v>
      </c>
    </row>
    <row r="12" spans="2:6" ht="31.5">
      <c r="B12" s="46" t="s">
        <v>630</v>
      </c>
    </row>
    <row r="13" spans="2:6" ht="15.75">
      <c r="B13" s="46" t="s">
        <v>631</v>
      </c>
    </row>
    <row r="14" spans="2:6" ht="72" customHeight="1">
      <c r="B14" s="47" t="s">
        <v>632</v>
      </c>
    </row>
    <row r="15" spans="2:6" ht="133.5" customHeight="1">
      <c r="B15" s="47" t="s">
        <v>633</v>
      </c>
    </row>
    <row r="16" spans="2:6">
      <c r="B16" s="48" t="s">
        <v>634</v>
      </c>
    </row>
    <row r="17" spans="2:2" ht="44.25" customHeight="1">
      <c r="B17" s="45" t="s">
        <v>635</v>
      </c>
    </row>
    <row r="18" spans="2:2" ht="161.25" customHeight="1">
      <c r="B18" s="46" t="s">
        <v>636</v>
      </c>
    </row>
    <row r="19" spans="2:2" ht="105.75" customHeight="1">
      <c r="B19" s="46" t="s">
        <v>637</v>
      </c>
    </row>
    <row r="20" spans="2:2" ht="144" customHeight="1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>
      <c r="B3" t="s">
        <v>688</v>
      </c>
      <c r="C3" t="s">
        <v>696</v>
      </c>
      <c r="D3" t="s">
        <v>1</v>
      </c>
    </row>
    <row r="4" spans="2:6">
      <c r="B4" t="s">
        <v>689</v>
      </c>
      <c r="C4">
        <v>25</v>
      </c>
      <c r="D4" t="s">
        <v>700</v>
      </c>
    </row>
    <row r="5" spans="2:6">
      <c r="B5" t="s">
        <v>690</v>
      </c>
      <c r="C5">
        <v>3</v>
      </c>
      <c r="D5" t="s">
        <v>691</v>
      </c>
    </row>
    <row r="6" spans="2:6">
      <c r="B6" t="s">
        <v>692</v>
      </c>
      <c r="C6" t="s">
        <v>693</v>
      </c>
      <c r="D6" t="s">
        <v>708</v>
      </c>
    </row>
    <row r="7" spans="2:6">
      <c r="B7" t="s">
        <v>694</v>
      </c>
      <c r="C7" t="s">
        <v>695</v>
      </c>
      <c r="D7" t="s">
        <v>699</v>
      </c>
    </row>
    <row r="8" spans="2:6">
      <c r="B8" t="s">
        <v>694</v>
      </c>
      <c r="C8" t="s">
        <v>697</v>
      </c>
      <c r="D8" t="s">
        <v>698</v>
      </c>
    </row>
    <row r="14" spans="2:6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J12" sqref="J12"/>
    </sheetView>
  </sheetViews>
  <sheetFormatPr defaultRowHeight="15"/>
  <cols>
    <col min="4" max="4" width="13.7109375" customWidth="1"/>
    <col min="6" max="6" width="13" customWidth="1"/>
    <col min="7" max="7" width="14.7109375" customWidth="1"/>
  </cols>
  <sheetData>
    <row r="2" spans="3:18">
      <c r="D2" t="s">
        <v>896</v>
      </c>
      <c r="N2" t="s">
        <v>900</v>
      </c>
      <c r="Q2" t="s">
        <v>901</v>
      </c>
    </row>
    <row r="3" spans="3:18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>
      <c r="P5">
        <f>P3+P4</f>
        <v>2525</v>
      </c>
      <c r="Q5">
        <f>P5/100</f>
        <v>25.25</v>
      </c>
      <c r="R5">
        <f>Q5/2.5</f>
        <v>10.1</v>
      </c>
    </row>
    <row r="7" spans="3:18">
      <c r="D7" t="s">
        <v>897</v>
      </c>
    </row>
    <row r="8" spans="3:18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>
      <c r="D10" t="s">
        <v>898</v>
      </c>
    </row>
    <row r="11" spans="3:18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Расчёт колличества бетона </vt:lpstr>
      <vt:lpstr>Покупки для дома</vt:lpstr>
      <vt:lpstr>расчёт труб отопления</vt:lpstr>
      <vt:lpstr>Лист1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2026-10-17T06:35:57Z</dcterms:modified>
</cp:coreProperties>
</file>