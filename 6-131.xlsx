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52511"/>
</workbook>
</file>

<file path=xl/calcChain.xml><?xml version="1.0" encoding="utf-8"?>
<calcChain xmlns="http://schemas.openxmlformats.org/spreadsheetml/2006/main">
  <c r="D528" i="6" l="1"/>
  <c r="D527" i="6"/>
  <c r="D526" i="6"/>
  <c r="D523" i="6"/>
  <c r="D522" i="6"/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3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<sst xmlns="http://schemas.openxmlformats.org/spreadsheetml/2006/main" count="1442" uniqueCount="894">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</sst>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37" totalsRowCount="1">
  <autoFilter ref="B5:F536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37"/>
  <sheetViews>
    <sheetView tabSelected="1" topLeftCell="A506" workbookViewId="0">
      <selection activeCell="E531" sqref="E531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>
        <v>46226</v>
      </c>
    </row>
    <row r="511" spans="3:6" x14ac:dyDescent="0.25">
      <c r="C511" t="s">
        <v>855</v>
      </c>
      <c r="D511" s="7">
        <v>4055</v>
      </c>
      <c r="E511" t="s">
        <v>622</v>
      </c>
      <c r="F511" s="9">
        <v>46228</v>
      </c>
    </row>
    <row r="512" spans="3:6" x14ac:dyDescent="0.25">
      <c r="C512" t="s">
        <v>856</v>
      </c>
      <c r="D512" s="7">
        <v>216</v>
      </c>
      <c r="E512" t="s">
        <v>232</v>
      </c>
      <c r="F512" s="9">
        <v>46228</v>
      </c>
    </row>
    <row r="513" spans="3:6" x14ac:dyDescent="0.25">
      <c r="C513" s="56" t="s">
        <v>857</v>
      </c>
      <c r="D513" s="7">
        <v>16666</v>
      </c>
      <c r="E513" t="s">
        <v>232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C515" t="s">
        <v>878</v>
      </c>
      <c r="D515" s="7">
        <v>1367</v>
      </c>
      <c r="E515" t="s">
        <v>173</v>
      </c>
      <c r="F515" s="9">
        <v>46228</v>
      </c>
    </row>
    <row r="516" spans="3:6" x14ac:dyDescent="0.25">
      <c r="C516" t="s">
        <v>879</v>
      </c>
      <c r="D516" s="7">
        <v>608</v>
      </c>
      <c r="E516" t="s">
        <v>173</v>
      </c>
      <c r="F516" s="9">
        <v>46230</v>
      </c>
    </row>
    <row r="517" spans="3:6" x14ac:dyDescent="0.25">
      <c r="C517" t="s">
        <v>880</v>
      </c>
      <c r="D517" s="7">
        <v>1755</v>
      </c>
      <c r="E517" t="s">
        <v>722</v>
      </c>
      <c r="F517" s="9">
        <v>46230</v>
      </c>
    </row>
    <row r="518" spans="3:6" x14ac:dyDescent="0.25">
      <c r="C518" t="s">
        <v>473</v>
      </c>
      <c r="D518" s="7">
        <v>12000</v>
      </c>
      <c r="E518" t="s">
        <v>881</v>
      </c>
      <c r="F518" s="9">
        <v>46230</v>
      </c>
    </row>
    <row r="519" spans="3:6" x14ac:dyDescent="0.25">
      <c r="C519" t="s">
        <v>883</v>
      </c>
      <c r="D519" s="7">
        <v>74439</v>
      </c>
      <c r="E519" t="s">
        <v>882</v>
      </c>
      <c r="F519" s="9">
        <v>46230</v>
      </c>
    </row>
    <row r="520" spans="3:6" x14ac:dyDescent="0.25">
      <c r="C520" t="s">
        <v>884</v>
      </c>
      <c r="D520" s="7">
        <v>117306</v>
      </c>
      <c r="E520" t="s">
        <v>882</v>
      </c>
      <c r="F520" s="9">
        <v>46230</v>
      </c>
    </row>
    <row r="521" spans="3:6" x14ac:dyDescent="0.25">
      <c r="C521" t="s">
        <v>885</v>
      </c>
      <c r="D521" s="7">
        <v>2700</v>
      </c>
      <c r="E521" t="s">
        <v>882</v>
      </c>
      <c r="F521" s="9">
        <v>46230</v>
      </c>
    </row>
    <row r="522" spans="3:6" x14ac:dyDescent="0.25">
      <c r="C522" t="s">
        <v>887</v>
      </c>
      <c r="D522" s="7">
        <f>8115.85+4698.76</f>
        <v>12814.61</v>
      </c>
      <c r="E522" t="s">
        <v>886</v>
      </c>
      <c r="F522" s="9">
        <v>46234</v>
      </c>
    </row>
    <row r="523" spans="3:6" x14ac:dyDescent="0.25">
      <c r="C523" t="s">
        <v>888</v>
      </c>
      <c r="D523" s="7">
        <f>17173.51+592.2</f>
        <v>17765.71</v>
      </c>
      <c r="E523" t="s">
        <v>886</v>
      </c>
      <c r="F523" s="9">
        <v>46234</v>
      </c>
    </row>
    <row r="524" spans="3:6" x14ac:dyDescent="0.25">
      <c r="C524" t="s">
        <v>889</v>
      </c>
      <c r="D524" s="7">
        <v>6972.3</v>
      </c>
      <c r="E524" t="s">
        <v>886</v>
      </c>
      <c r="F524" s="9">
        <v>46234</v>
      </c>
    </row>
    <row r="525" spans="3:6" x14ac:dyDescent="0.25">
      <c r="C525" t="s">
        <v>890</v>
      </c>
      <c r="D525" s="7">
        <v>774.72</v>
      </c>
      <c r="E525" t="s">
        <v>886</v>
      </c>
      <c r="F525" s="9">
        <v>46234</v>
      </c>
    </row>
    <row r="526" spans="3:6" x14ac:dyDescent="0.25">
      <c r="C526" t="s">
        <v>891</v>
      </c>
      <c r="D526" s="7">
        <f>8708.1+2902.71</f>
        <v>11610.810000000001</v>
      </c>
      <c r="E526" t="s">
        <v>886</v>
      </c>
      <c r="F526" s="9">
        <v>46234</v>
      </c>
    </row>
    <row r="527" spans="3:6" x14ac:dyDescent="0.25">
      <c r="C527" t="s">
        <v>892</v>
      </c>
      <c r="D527" s="7">
        <f>5*90.28</f>
        <v>451.4</v>
      </c>
      <c r="E527" t="s">
        <v>886</v>
      </c>
      <c r="F527" s="9">
        <v>46234</v>
      </c>
    </row>
    <row r="528" spans="3:6" x14ac:dyDescent="0.25">
      <c r="C528" t="s">
        <v>893</v>
      </c>
      <c r="D528" s="7">
        <f>824.22*2</f>
        <v>1648.44</v>
      </c>
      <c r="E528" t="s">
        <v>886</v>
      </c>
      <c r="F528" s="9">
        <v>46234</v>
      </c>
    </row>
    <row r="529" spans="3:6" x14ac:dyDescent="0.25">
      <c r="C529" t="s">
        <v>426</v>
      </c>
      <c r="D529" s="7">
        <v>2510</v>
      </c>
      <c r="E529" t="s">
        <v>886</v>
      </c>
      <c r="F529" s="9">
        <v>46234</v>
      </c>
    </row>
    <row r="530" spans="3:6" x14ac:dyDescent="0.25">
      <c r="D530" s="7"/>
      <c r="F530" s="9"/>
    </row>
    <row r="531" spans="3:6" x14ac:dyDescent="0.25">
      <c r="D531" s="7"/>
      <c r="F531" s="9"/>
    </row>
    <row r="532" spans="3:6" x14ac:dyDescent="0.25">
      <c r="D532" s="7"/>
      <c r="F532" s="9"/>
    </row>
    <row r="533" spans="3:6" x14ac:dyDescent="0.25">
      <c r="D533" s="7"/>
      <c r="F533" s="9"/>
    </row>
    <row r="534" spans="3:6" x14ac:dyDescent="0.25">
      <c r="D534" s="7"/>
      <c r="F534" s="9"/>
    </row>
    <row r="535" spans="3:6" x14ac:dyDescent="0.25">
      <c r="D535" s="7"/>
      <c r="F535" s="9"/>
    </row>
    <row r="536" spans="3:6" x14ac:dyDescent="0.25">
      <c r="D536" s="7"/>
      <c r="F536" s="9"/>
    </row>
    <row r="537" spans="3:6" x14ac:dyDescent="0.25">
      <c r="D537" s="7">
        <f>SUBTOTAL(109,Таблица4[Цена (руб)])</f>
        <v>5761859.0200000005</v>
      </c>
      <c r="F53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2026-08-02T21:12:45Z</dcterms:modified>
</cp:coreProperties>
</file>